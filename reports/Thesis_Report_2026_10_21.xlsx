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Gap" sheetId="1" state="visible" r:id="rId1"/>
    <sheet xmlns:r="http://schemas.openxmlformats.org/officeDocument/2006/relationships" name="EDA" sheetId="2" state="visible" r:id="rId2"/>
    <sheet xmlns:r="http://schemas.openxmlformats.org/officeDocument/2006/relationships" name="Training Results" sheetId="3" state="visible" r:id="rId3"/>
    <sheet xmlns:r="http://schemas.openxmlformats.org/officeDocument/2006/relationships" name="Training Results V2" sheetId="4" state="visible" r:id="rId4"/>
  </sheets>
  <definedNames/>
  <calcPr calcId="124519" fullCalcOnLoad="1"/>
</workbook>
</file>

<file path=xl/styles.xml><?xml version="1.0" encoding="utf-8"?>
<styleSheet xmlns="http://schemas.openxmlformats.org/spreadsheetml/2006/main">
  <numFmts count="6">
    <numFmt numFmtId="164" formatCode="0.0000"/>
    <numFmt numFmtId="165" formatCode="+0.0000;-0.0000;0.0000"/>
    <numFmt numFmtId="166" formatCode="0.0%"/>
    <numFmt numFmtId="167" formatCode="0.0"/>
    <numFmt numFmtId="168" formatCode="0.000"/>
    <numFmt numFmtId="169" formatCode="+0.000;-0.000;0.000"/>
  </numFmts>
  <fonts count="21">
    <font>
      <name val="Arial"/>
      <color rgb="FF000000"/>
      <sz val="10"/>
      <scheme val="minor"/>
    </font>
    <font>
      <name val="Arial"/>
      <color theme="1"/>
    </font>
    <font>
      <name val="Arial"/>
      <color rgb="FF000000"/>
      <sz val="10"/>
    </font>
    <font>
      <name val="Arial"/>
      <color rgb="FF000000"/>
    </font>
    <font>
      <name val="Arial"/>
      <b val="1"/>
      <color rgb="FF1F3864"/>
      <sz val="16"/>
    </font>
    <font>
      <name val="Arial"/>
      <b val="1"/>
      <color rgb="FFFFFFFF"/>
      <sz val="12"/>
    </font>
    <font>
      <name val="Arial"/>
      <i val="1"/>
      <color rgb="FF595959"/>
      <sz val="9"/>
    </font>
    <font>
      <name val="Arial"/>
      <b val="1"/>
      <color rgb="FF1F3864"/>
      <sz val="10"/>
    </font>
    <font>
      <color rgb="FF0000FF"/>
      <u val="single"/>
    </font>
    <font>
      <name val="Arial"/>
      <color theme="1"/>
      <sz val="10"/>
    </font>
    <font/>
    <font>
      <name val="Arial"/>
      <b val="1"/>
      <color theme="1"/>
      <sz val="10"/>
    </font>
    <font>
      <name val="Arial"/>
      <b val="1"/>
      <color rgb="FF000000"/>
      <sz val="10"/>
    </font>
    <font>
      <name val="Arial"/>
      <color rgb="FF595959"/>
      <sz val="11"/>
    </font>
    <font>
      <name val="Arial"/>
      <color rgb="FF595959"/>
      <sz val="9"/>
    </font>
    <font>
      <name val="Arial"/>
      <color rgb="FF1F3864"/>
      <sz val="11"/>
    </font>
    <font>
      <name val="Arial"/>
      <color rgb="FF595959"/>
      <sz val="10"/>
    </font>
    <font>
      <name val="Arial"/>
      <color rgb="FF1F3864"/>
      <sz val="10"/>
    </font>
    <font>
      <name val="Arial"/>
      <b val="1"/>
      <color theme="1"/>
    </font>
    <font>
      <name val="Arial"/>
      <b val="1"/>
      <color rgb="FF1F3864"/>
    </font>
    <font>
      <name val="Arial"/>
      <color rgb="FF000000"/>
      <sz val="17"/>
    </font>
  </fonts>
  <fills count="17">
    <fill>
      <patternFill/>
    </fill>
    <fill>
      <patternFill patternType="lightGray"/>
    </fill>
    <fill>
      <patternFill patternType="solid">
        <fgColor rgb="FF1F3864"/>
        <bgColor rgb="FF1F3864"/>
      </patternFill>
    </fill>
    <fill>
      <patternFill patternType="solid">
        <fgColor rgb="FFD9E2F3"/>
        <bgColor rgb="FFD9E2F3"/>
      </patternFill>
    </fill>
    <fill>
      <patternFill patternType="solid">
        <fgColor rgb="FFE2EFDA"/>
        <bgColor rgb="FFE2EFDA"/>
      </patternFill>
    </fill>
    <fill>
      <patternFill patternType="solid">
        <fgColor rgb="FFF8CBAD"/>
        <bgColor rgb="FFF8CBAD"/>
      </patternFill>
    </fill>
    <fill>
      <patternFill patternType="solid">
        <fgColor rgb="FFFF9900"/>
        <bgColor rgb="FFFF9900"/>
      </patternFill>
    </fill>
    <fill>
      <patternFill patternType="solid">
        <fgColor rgb="FFFCE4E4"/>
        <bgColor rgb="FFFCE4E4"/>
      </patternFill>
    </fill>
    <fill>
      <patternFill patternType="solid">
        <fgColor rgb="FFFFE699"/>
        <bgColor rgb="FFFFE699"/>
      </patternFill>
    </fill>
    <fill>
      <patternFill patternType="solid">
        <fgColor rgb="FFFFE599"/>
        <bgColor rgb="FFFFE599"/>
      </patternFill>
    </fill>
    <fill>
      <patternFill patternType="solid">
        <fgColor rgb="FFFFF2CC"/>
        <bgColor rgb="FFFFF2CC"/>
      </patternFill>
    </fill>
    <fill>
      <patternFill patternType="solid">
        <fgColor rgb="FFDDEBF7"/>
        <bgColor rgb="FFDDEBF7"/>
      </patternFill>
    </fill>
    <fill>
      <patternFill patternType="solid">
        <fgColor rgb="FFF2F2F2"/>
        <bgColor rgb="FFF2F2F2"/>
      </patternFill>
    </fill>
    <fill>
      <patternFill patternType="solid">
        <fgColor rgb="FFF9CB9C"/>
        <bgColor rgb="FFF9CB9C"/>
      </patternFill>
    </fill>
    <fill>
      <patternFill patternType="solid">
        <fgColor rgb="FF1F3864"/>
      </patternFill>
    </fill>
    <fill>
      <patternFill patternType="solid">
        <fgColor rgb="FFD9E2F3"/>
      </patternFill>
    </fill>
    <fill>
      <patternFill patternType="solid">
        <fgColor rgb="FFE2EFDA"/>
      </patternFill>
    </fill>
  </fills>
  <borders count="13">
    <border/>
    <border>
      <left style="thin">
        <color rgb="FFBFBFBF"/>
      </left>
      <right style="thin">
        <color rgb="FFBFBFBF"/>
      </right>
      <top style="thin">
        <color rgb="FFBFBFBF"/>
      </top>
      <bottom style="thin">
        <color rgb="FFBFBFBF"/>
      </bottom>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right style="thin">
        <color rgb="FFD0D0D0"/>
      </right>
      <top style="thin">
        <color rgb="FFD0D0D0"/>
      </top>
      <bottom style="thin">
        <color rgb="FFD0D0D0"/>
      </bottom>
    </border>
    <border>
      <top style="thin">
        <color rgb="FFD0D0D0"/>
      </top>
      <bottom style="thin">
        <color rgb="FFD0D0D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D0D0D0"/>
      </top>
    </border>
    <border>
      <right style="thin">
        <color rgb="FFD0D0D0"/>
      </right>
      <top style="thin">
        <color rgb="FFD0D0D0"/>
      </top>
    </border>
    <border>
      <top style="thin">
        <color rgb="FFBFBFBF"/>
      </top>
    </border>
    <border>
      <right style="thin">
        <color rgb="FFBFBFBF"/>
      </right>
      <top style="thin">
        <color rgb="FFBFBFBF"/>
      </top>
    </border>
  </borders>
  <cellStyleXfs count="1">
    <xf numFmtId="0" fontId="0" fillId="0" borderId="0"/>
  </cellStyleXfs>
  <cellXfs count="16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pivotButton="0" quotePrefix="0" xfId="0"/>
    <xf numFmtId="0" fontId="5" fillId="2" borderId="0" applyAlignment="1" pivotButton="0" quotePrefix="0" xfId="0">
      <alignment vertical="center"/>
    </xf>
    <xf numFmtId="0" fontId="6" fillId="0" borderId="0" applyAlignment="1" pivotButton="0" quotePrefix="0" xfId="0">
      <alignment horizontal="left" vertical="top" wrapText="1"/>
    </xf>
    <xf numFmtId="0" fontId="5" fillId="2" borderId="0" pivotButton="0" quotePrefix="0" xfId="0"/>
    <xf numFmtId="0" fontId="7" fillId="3" borderId="1" applyAlignment="1" pivotButton="0" quotePrefix="0" xfId="0">
      <alignment horizontal="center" vertical="center" wrapText="1"/>
    </xf>
    <xf numFmtId="0" fontId="8" fillId="0" borderId="0" pivotButton="0" quotePrefix="0" xfId="0"/>
    <xf numFmtId="0" fontId="2" fillId="0" borderId="0" applyAlignment="1" pivotButton="0" quotePrefix="0" xfId="0">
      <alignment horizontal="right"/>
    </xf>
    <xf numFmtId="0" fontId="7" fillId="3" borderId="1" applyAlignment="1" pivotButton="0" quotePrefix="0" xfId="0">
      <alignment horizontal="center" vertical="center" wrapText="1"/>
    </xf>
    <xf numFmtId="0" fontId="7" fillId="0" borderId="0" pivotButton="0" quotePrefix="0" xfId="0"/>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9" fillId="4" borderId="1" applyAlignment="1" pivotButton="0" quotePrefix="0" xfId="0">
      <alignment vertical="top" wrapText="1"/>
    </xf>
    <xf numFmtId="0" fontId="2" fillId="0" borderId="1" applyAlignment="1" pivotButton="0" quotePrefix="0" xfId="0">
      <alignment horizontal="left" vertical="top" wrapText="1"/>
    </xf>
    <xf numFmtId="164" fontId="9" fillId="4" borderId="1" applyAlignment="1" pivotButton="0" quotePrefix="0" xfId="0">
      <alignment vertical="top" wrapText="1"/>
    </xf>
    <xf numFmtId="0" fontId="5" fillId="2" borderId="0" applyAlignment="1" pivotButton="0" quotePrefix="0" xfId="0">
      <alignment vertical="center"/>
    </xf>
    <xf numFmtId="164" fontId="9" fillId="4" borderId="1" applyAlignment="1" pivotButton="0" quotePrefix="0" xfId="0">
      <alignment horizontal="center" vertical="center" wrapText="1"/>
    </xf>
    <xf numFmtId="0" fontId="6" fillId="0" borderId="0" applyAlignment="1" pivotButton="0" quotePrefix="0" xfId="0">
      <alignment vertical="top" wrapText="1"/>
    </xf>
    <xf numFmtId="0" fontId="9" fillId="4" borderId="1" applyAlignment="1" pivotButton="0" quotePrefix="0" xfId="0">
      <alignment horizontal="center" vertical="center" wrapText="1"/>
    </xf>
    <xf numFmtId="0" fontId="2" fillId="4" borderId="1" applyAlignment="1" pivotButton="0" quotePrefix="0" xfId="0">
      <alignment horizontal="left" vertical="top" wrapText="1"/>
    </xf>
    <xf numFmtId="0" fontId="9" fillId="0" borderId="1" applyAlignment="1" pivotButton="0" quotePrefix="0" xfId="0">
      <alignment vertical="top" wrapText="1"/>
    </xf>
    <xf numFmtId="0" fontId="7" fillId="3" borderId="2" applyAlignment="1" pivotButton="0" quotePrefix="0" xfId="0">
      <alignment horizontal="center" vertical="center" wrapText="1"/>
    </xf>
    <xf numFmtId="0" fontId="2" fillId="4" borderId="1" applyAlignment="1" pivotButton="0" quotePrefix="0" xfId="0">
      <alignment horizontal="center" vertical="top" wrapText="1"/>
    </xf>
    <xf numFmtId="0" fontId="9" fillId="0" borderId="1" applyAlignment="1" pivotButton="0" quotePrefix="0" xfId="0">
      <alignment horizontal="center" vertical="center" wrapText="1"/>
    </xf>
    <xf numFmtId="0" fontId="2" fillId="4" borderId="1" applyAlignment="1" pivotButton="0" quotePrefix="0" xfId="0">
      <alignment horizontal="left" vertical="top" wrapText="1"/>
    </xf>
    <xf numFmtId="0" fontId="7" fillId="3" borderId="3" applyAlignment="1" pivotButton="0" quotePrefix="0" xfId="0">
      <alignment horizontal="center" vertical="center" wrapText="1"/>
    </xf>
    <xf numFmtId="0" fontId="10" fillId="0" borderId="4" pivotButton="0" quotePrefix="0" xfId="0"/>
    <xf numFmtId="0" fontId="9" fillId="5" borderId="1" applyAlignment="1" pivotButton="0" quotePrefix="0" xfId="0">
      <alignment vertical="top" wrapText="1"/>
    </xf>
    <xf numFmtId="0" fontId="10" fillId="0" borderId="5" pivotButton="0" quotePrefix="0" xfId="0"/>
    <xf numFmtId="164" fontId="9" fillId="5" borderId="1" applyAlignment="1" pivotButton="0" quotePrefix="0" xfId="0">
      <alignment vertical="top" wrapText="1"/>
    </xf>
    <xf numFmtId="164" fontId="9" fillId="5" borderId="1" applyAlignment="1" pivotButton="0" quotePrefix="0" xfId="0">
      <alignment horizontal="center" vertical="center" wrapText="1"/>
    </xf>
    <xf numFmtId="0" fontId="11" fillId="4" borderId="2" applyAlignment="1" pivotButton="0" quotePrefix="0" xfId="0">
      <alignment vertical="top" wrapText="1"/>
    </xf>
    <xf numFmtId="0" fontId="9" fillId="5" borderId="1" applyAlignment="1" pivotButton="0" quotePrefix="0" xfId="0">
      <alignment horizontal="center" vertical="center" wrapText="1"/>
    </xf>
    <xf numFmtId="0" fontId="9" fillId="4" borderId="2" applyAlignment="1" pivotButton="0" quotePrefix="0" xfId="0">
      <alignment vertical="top" wrapText="1"/>
    </xf>
    <xf numFmtId="0" fontId="9" fillId="4" borderId="3" applyAlignment="1" pivotButton="0" quotePrefix="0" xfId="0">
      <alignment vertical="top" wrapText="1"/>
    </xf>
    <xf numFmtId="0" fontId="1" fillId="6" borderId="0" pivotButton="0" quotePrefix="0" xfId="0"/>
    <xf numFmtId="0" fontId="12" fillId="0" borderId="1" applyAlignment="1" pivotButton="0" quotePrefix="0" xfId="0">
      <alignment horizontal="left" vertical="top" wrapText="1"/>
    </xf>
    <xf numFmtId="0" fontId="13" fillId="0" borderId="2" applyAlignment="1" pivotButton="0" quotePrefix="0" xfId="0">
      <alignment vertical="top" wrapText="1"/>
    </xf>
    <xf numFmtId="164" fontId="2" fillId="0" borderId="1" applyAlignment="1" pivotButton="0" quotePrefix="0" xfId="0">
      <alignment horizontal="center" vertical="top" wrapText="1"/>
    </xf>
    <xf numFmtId="0" fontId="14" fillId="0" borderId="0" applyAlignment="1" pivotButton="0" quotePrefix="0" xfId="0">
      <alignment vertical="top" wrapText="1"/>
    </xf>
    <xf numFmtId="0" fontId="11" fillId="7" borderId="2" applyAlignment="1" pivotButton="0" quotePrefix="0" xfId="0">
      <alignment vertical="top" wrapText="1"/>
    </xf>
    <xf numFmtId="0" fontId="9" fillId="7" borderId="2" applyAlignment="1" pivotButton="0" quotePrefix="0" xfId="0">
      <alignment vertical="top" wrapText="1"/>
    </xf>
    <xf numFmtId="0" fontId="9" fillId="7" borderId="3" applyAlignment="1" pivotButton="0" quotePrefix="0" xfId="0">
      <alignment vertical="top" wrapText="1"/>
    </xf>
    <xf numFmtId="165" fontId="2" fillId="0" borderId="1" applyAlignment="1" pivotButton="0" quotePrefix="0" xfId="0">
      <alignment horizontal="center" vertical="top" wrapText="1"/>
    </xf>
    <xf numFmtId="0" fontId="9" fillId="8" borderId="1" applyAlignment="1" pivotButton="0" quotePrefix="0" xfId="0">
      <alignment vertical="top" wrapText="1"/>
    </xf>
    <xf numFmtId="0" fontId="9" fillId="8" borderId="1" applyAlignment="1" pivotButton="0" quotePrefix="0" xfId="0">
      <alignment horizontal="center" vertical="center" wrapText="1"/>
    </xf>
    <xf numFmtId="164" fontId="9" fillId="8" borderId="1" applyAlignment="1" pivotButton="0" quotePrefix="0" xfId="0">
      <alignment horizontal="center" vertical="center" wrapText="1"/>
    </xf>
    <xf numFmtId="0" fontId="12" fillId="4" borderId="1" applyAlignment="1" pivotButton="0" quotePrefix="0" xfId="0">
      <alignment horizontal="left" vertical="top" wrapText="1"/>
    </xf>
    <xf numFmtId="164" fontId="2" fillId="4" borderId="1" applyAlignment="1" pivotButton="0" quotePrefix="0" xfId="0">
      <alignment horizontal="center" vertical="top" wrapText="1"/>
    </xf>
    <xf numFmtId="165" fontId="2" fillId="4" borderId="1" applyAlignment="1" pivotButton="0" quotePrefix="0" xfId="0">
      <alignment horizontal="center" vertical="top" wrapText="1"/>
    </xf>
    <xf numFmtId="0" fontId="15" fillId="3" borderId="2" applyAlignment="1" pivotButton="0" quotePrefix="0" xfId="0">
      <alignment horizontal="center" vertical="center" wrapText="1"/>
    </xf>
    <xf numFmtId="0" fontId="9" fillId="0" borderId="2" applyAlignment="1" pivotButton="0" quotePrefix="0" xfId="0">
      <alignment vertical="center" wrapText="1"/>
    </xf>
    <xf numFmtId="3" fontId="9" fillId="0" borderId="2" applyAlignment="1" pivotButton="0" quotePrefix="0" xfId="0">
      <alignment horizontal="center" vertical="center"/>
    </xf>
    <xf numFmtId="0" fontId="2" fillId="0" borderId="6" applyAlignment="1" pivotButton="0" quotePrefix="0" xfId="0">
      <alignment horizontal="center" vertical="top" wrapText="1"/>
    </xf>
    <xf numFmtId="0" fontId="10" fillId="0" borderId="7" pivotButton="0" quotePrefix="0" xfId="0"/>
    <xf numFmtId="0" fontId="10" fillId="0" borderId="8" pivotButton="0" quotePrefix="0" xfId="0"/>
    <xf numFmtId="164" fontId="9" fillId="0" borderId="1" applyAlignment="1" pivotButton="0" quotePrefix="0" xfId="0">
      <alignment horizontal="center" vertical="center" wrapText="1"/>
    </xf>
    <xf numFmtId="0" fontId="16" fillId="0" borderId="2" applyAlignment="1" pivotButton="0" quotePrefix="0" xfId="0">
      <alignment vertical="top" wrapText="1"/>
    </xf>
    <xf numFmtId="0" fontId="2" fillId="4" borderId="6" applyAlignment="1" pivotButton="0" quotePrefix="0" xfId="0">
      <alignment horizontal="center" vertical="top" wrapText="1"/>
    </xf>
    <xf numFmtId="0" fontId="9" fillId="9" borderId="1" applyAlignment="1" pivotButton="0" quotePrefix="0" xfId="0">
      <alignment vertical="top" wrapText="1"/>
    </xf>
    <xf numFmtId="166" fontId="9" fillId="0" borderId="2" applyAlignment="1" pivotButton="0" quotePrefix="0" xfId="0">
      <alignment horizontal="center" vertical="center"/>
    </xf>
    <xf numFmtId="167" fontId="9" fillId="0" borderId="2" applyAlignment="1" pivotButton="0" quotePrefix="0" xfId="0">
      <alignment horizontal="center" vertical="center"/>
    </xf>
    <xf numFmtId="1" fontId="9" fillId="0" borderId="2" applyAlignment="1" pivotButton="0" quotePrefix="0" xfId="0">
      <alignment horizontal="center" vertical="center"/>
    </xf>
    <xf numFmtId="168" fontId="2" fillId="0" borderId="1" applyAlignment="1" pivotButton="0" quotePrefix="0" xfId="0">
      <alignment horizontal="center" vertical="top" wrapText="1"/>
    </xf>
    <xf numFmtId="169" fontId="2" fillId="0" borderId="1" applyAlignment="1" pivotButton="0" quotePrefix="0" xfId="0">
      <alignment horizontal="center" vertical="top" wrapText="1"/>
    </xf>
    <xf numFmtId="0" fontId="6" fillId="0" borderId="2" applyAlignment="1" pivotButton="0" quotePrefix="0" xfId="0">
      <alignment vertical="top" wrapText="1"/>
    </xf>
    <xf numFmtId="0" fontId="11" fillId="0" borderId="2" applyAlignment="1" pivotButton="0" quotePrefix="0" xfId="0">
      <alignment vertical="center" wrapText="1"/>
    </xf>
    <xf numFmtId="1" fontId="2" fillId="0" borderId="1" applyAlignment="1" pivotButton="0" quotePrefix="0" xfId="0">
      <alignment horizontal="center" vertical="top" wrapText="1"/>
    </xf>
    <xf numFmtId="164" fontId="11" fillId="4" borderId="2" applyAlignment="1" pivotButton="0" quotePrefix="0" xfId="0">
      <alignment horizontal="center" vertical="center"/>
    </xf>
    <xf numFmtId="164" fontId="11" fillId="7" borderId="2" applyAlignment="1" pivotButton="0" quotePrefix="0" xfId="0">
      <alignment horizontal="center" vertical="center"/>
    </xf>
    <xf numFmtId="164" fontId="11" fillId="0" borderId="2" applyAlignment="1" pivotButton="0" quotePrefix="0" xfId="0">
      <alignment horizontal="center" vertical="center"/>
    </xf>
    <xf numFmtId="164" fontId="9" fillId="0" borderId="2" applyAlignment="1" pivotButton="0" quotePrefix="0" xfId="0">
      <alignment horizontal="center" vertical="center"/>
    </xf>
    <xf numFmtId="0" fontId="9" fillId="0" borderId="2" applyAlignment="1" pivotButton="0" quotePrefix="0" xfId="0">
      <alignment horizontal="center" vertical="center"/>
    </xf>
    <xf numFmtId="10" fontId="9" fillId="0" borderId="2" applyAlignment="1" pivotButton="0" quotePrefix="0" xfId="0">
      <alignment horizontal="center" vertical="center"/>
    </xf>
    <xf numFmtId="0" fontId="17" fillId="3" borderId="2" applyAlignment="1" pivotButton="0" quotePrefix="0" xfId="0">
      <alignment horizontal="center" vertical="center" wrapText="1"/>
    </xf>
    <xf numFmtId="0" fontId="11" fillId="0" borderId="2" applyAlignment="1" pivotButton="0" quotePrefix="0" xfId="0">
      <alignment horizontal="center" vertical="center"/>
    </xf>
    <xf numFmtId="164" fontId="11" fillId="10" borderId="2" applyAlignment="1" pivotButton="0" quotePrefix="0" xfId="0">
      <alignment horizontal="center" vertical="center"/>
    </xf>
    <xf numFmtId="0" fontId="7" fillId="3" borderId="6" applyAlignment="1" pivotButton="0" quotePrefix="0" xfId="0">
      <alignment horizontal="center" vertical="center" wrapText="1"/>
    </xf>
    <xf numFmtId="168" fontId="9" fillId="0" borderId="2" applyAlignment="1" pivotButton="0" quotePrefix="0" xfId="0">
      <alignment horizontal="center" vertical="center"/>
    </xf>
    <xf numFmtId="0" fontId="2" fillId="4" borderId="6" applyAlignment="1" pivotButton="0" quotePrefix="0" xfId="0">
      <alignment horizontal="left" vertical="top" wrapText="1"/>
    </xf>
    <xf numFmtId="0" fontId="2" fillId="4" borderId="6" applyAlignment="1" pivotButton="0" quotePrefix="0" xfId="0">
      <alignment horizontal="left" vertical="top" wrapText="1"/>
    </xf>
    <xf numFmtId="2" fontId="9" fillId="0" borderId="2" applyAlignment="1" pivotButton="0" quotePrefix="0" xfId="0">
      <alignment horizontal="center" vertical="center"/>
    </xf>
    <xf numFmtId="0" fontId="7" fillId="3" borderId="6" applyAlignment="1" pivotButton="0" quotePrefix="0" xfId="0">
      <alignment horizontal="center" vertical="center" wrapText="1"/>
    </xf>
    <xf numFmtId="0" fontId="11" fillId="0" borderId="2" applyAlignment="1" pivotButton="0" quotePrefix="0" xfId="0">
      <alignment vertical="top" wrapText="1"/>
    </xf>
    <xf numFmtId="0" fontId="11" fillId="8" borderId="2" applyAlignment="1" pivotButton="0" quotePrefix="0" xfId="0">
      <alignment horizontal="center" vertical="center"/>
    </xf>
    <xf numFmtId="0" fontId="9" fillId="0" borderId="3" applyAlignment="1" pivotButton="0" quotePrefix="0" xfId="0">
      <alignment vertical="top" wrapText="1"/>
    </xf>
    <xf numFmtId="0" fontId="2" fillId="0" borderId="6" applyAlignment="1" pivotButton="0" quotePrefix="0" xfId="0">
      <alignment horizontal="left" vertical="top" wrapText="1"/>
    </xf>
    <xf numFmtId="0" fontId="11" fillId="11" borderId="2" applyAlignment="1" pivotButton="0" quotePrefix="0" xfId="0">
      <alignment horizontal="center" vertical="center"/>
    </xf>
    <xf numFmtId="0" fontId="11" fillId="4" borderId="1" applyAlignment="1" pivotButton="0" quotePrefix="0" xfId="0">
      <alignment vertical="top" wrapText="1"/>
    </xf>
    <xf numFmtId="0" fontId="11" fillId="4" borderId="1" applyAlignment="1" pivotButton="0" quotePrefix="0" xfId="0">
      <alignment horizontal="center" vertical="center" wrapText="1"/>
    </xf>
    <xf numFmtId="164" fontId="11" fillId="4" borderId="1" applyAlignment="1" pivotButton="0" quotePrefix="0" xfId="0">
      <alignment horizontal="center" vertical="center" wrapText="1"/>
    </xf>
    <xf numFmtId="0" fontId="11" fillId="5" borderId="2" applyAlignment="1" pivotButton="0" quotePrefix="0" xfId="0">
      <alignment horizontal="center" vertical="center"/>
    </xf>
    <xf numFmtId="0" fontId="1" fillId="0" borderId="1" applyAlignment="1" pivotButton="0" quotePrefix="0" xfId="0">
      <alignment vertical="top" wrapText="1"/>
    </xf>
    <xf numFmtId="0" fontId="1" fillId="0" borderId="1" applyAlignment="1" pivotButton="0" quotePrefix="0" xfId="0">
      <alignment horizontal="right" vertical="top" wrapText="1"/>
    </xf>
    <xf numFmtId="0" fontId="1" fillId="0" borderId="1" applyAlignment="1" pivotButton="0" quotePrefix="0" xfId="0">
      <alignment horizontal="center" wrapText="1"/>
    </xf>
    <xf numFmtId="164" fontId="1" fillId="0" borderId="1" applyAlignment="1" pivotButton="0" quotePrefix="0" xfId="0">
      <alignment horizontal="center" wrapText="1"/>
    </xf>
    <xf numFmtId="0" fontId="1" fillId="0" borderId="0" applyAlignment="1" pivotButton="0" quotePrefix="0" xfId="0">
      <alignment vertical="bottom"/>
    </xf>
    <xf numFmtId="0" fontId="1" fillId="0" borderId="1" applyAlignment="1" pivotButton="0" quotePrefix="0" xfId="0">
      <alignment vertical="top"/>
    </xf>
    <xf numFmtId="0" fontId="18" fillId="12" borderId="1" applyAlignment="1" pivotButton="0" quotePrefix="0" xfId="0">
      <alignment vertical="top" wrapText="1"/>
    </xf>
    <xf numFmtId="0" fontId="18" fillId="12" borderId="1" applyAlignment="1" pivotButton="0" quotePrefix="0" xfId="0">
      <alignment horizontal="center" wrapText="1"/>
    </xf>
    <xf numFmtId="164" fontId="18" fillId="12" borderId="1" applyAlignment="1" pivotButton="0" quotePrefix="0" xfId="0">
      <alignment horizontal="center" wrapText="1"/>
    </xf>
    <xf numFmtId="0" fontId="11" fillId="8" borderId="1" applyAlignment="1" pivotButton="0" quotePrefix="0" xfId="0">
      <alignment vertical="top" wrapText="1"/>
    </xf>
    <xf numFmtId="0" fontId="9" fillId="3" borderId="3" applyAlignment="1" pivotButton="0" quotePrefix="0" xfId="0">
      <alignment vertical="top" wrapText="1"/>
    </xf>
    <xf numFmtId="0" fontId="11" fillId="8" borderId="1" applyAlignment="1" pivotButton="0" quotePrefix="0" xfId="0">
      <alignment horizontal="center" vertical="center" wrapText="1"/>
    </xf>
    <xf numFmtId="164" fontId="11" fillId="8" borderId="1" applyAlignment="1" pivotButton="0" quotePrefix="0" xfId="0">
      <alignment horizontal="center" vertical="center" wrapText="1"/>
    </xf>
    <xf numFmtId="0" fontId="2" fillId="0" borderId="2" applyAlignment="1" pivotButton="0" quotePrefix="0" xfId="0">
      <alignment horizontal="center" vertical="center"/>
    </xf>
    <xf numFmtId="164" fontId="2" fillId="0" borderId="2" applyAlignment="1" pivotButton="0" quotePrefix="0" xfId="0">
      <alignment horizontal="center" vertical="center"/>
    </xf>
    <xf numFmtId="0" fontId="18" fillId="8" borderId="1" applyAlignment="1" pivotButton="0" quotePrefix="0" xfId="0">
      <alignment vertical="top" wrapText="1"/>
    </xf>
    <xf numFmtId="164" fontId="2" fillId="4" borderId="2" applyAlignment="1" pivotButton="0" quotePrefix="0" xfId="0">
      <alignment horizontal="center" vertical="center"/>
    </xf>
    <xf numFmtId="0" fontId="18" fillId="8" borderId="1" applyAlignment="1" pivotButton="0" quotePrefix="0" xfId="0">
      <alignment horizontal="center" wrapText="1"/>
    </xf>
    <xf numFmtId="0" fontId="2" fillId="0" borderId="2" pivotButton="0" quotePrefix="0" xfId="0"/>
    <xf numFmtId="164" fontId="18" fillId="8" borderId="1" applyAlignment="1" pivotButton="0" quotePrefix="0" xfId="0">
      <alignment horizontal="center" wrapText="1"/>
    </xf>
    <xf numFmtId="164" fontId="2" fillId="7" borderId="2" applyAlignment="1" pivotButton="0" quotePrefix="0" xfId="0">
      <alignment horizontal="center" vertical="center"/>
    </xf>
    <xf numFmtId="3" fontId="2" fillId="0" borderId="2" applyAlignment="1" pivotButton="0" quotePrefix="0" xfId="0">
      <alignment horizontal="center" vertical="center"/>
    </xf>
    <xf numFmtId="3" fontId="2" fillId="4" borderId="2" applyAlignment="1" pivotButton="0" quotePrefix="0" xfId="0">
      <alignment horizontal="center" vertical="center"/>
    </xf>
    <xf numFmtId="0" fontId="1" fillId="13" borderId="1" applyAlignment="1" pivotButton="0" quotePrefix="0" xfId="0">
      <alignment vertical="top" wrapText="1"/>
    </xf>
    <xf numFmtId="0" fontId="9" fillId="10" borderId="3" applyAlignment="1" pivotButton="0" quotePrefix="0" xfId="0">
      <alignment vertical="top" wrapText="1"/>
    </xf>
    <xf numFmtId="164" fontId="1" fillId="13" borderId="1" applyAlignment="1" pivotButton="0" quotePrefix="0" xfId="0">
      <alignment horizontal="center" wrapText="1"/>
    </xf>
    <xf numFmtId="0" fontId="1" fillId="13" borderId="1" applyAlignment="1" pivotButton="0" quotePrefix="0" xfId="0">
      <alignment horizontal="center" wrapText="1"/>
    </xf>
    <xf numFmtId="0" fontId="1" fillId="13" borderId="1" applyAlignment="1" pivotButton="0" quotePrefix="0" xfId="0">
      <alignment vertical="top"/>
    </xf>
    <xf numFmtId="0" fontId="11" fillId="0" borderId="3" applyAlignment="1" pivotButton="0" quotePrefix="0" xfId="0">
      <alignment vertical="top" wrapText="1"/>
    </xf>
    <xf numFmtId="0" fontId="9" fillId="12" borderId="3" applyAlignment="1" pivotButton="0" quotePrefix="0" xfId="0">
      <alignment vertical="top" wrapText="1"/>
    </xf>
    <xf numFmtId="0" fontId="19" fillId="3" borderId="1" applyAlignment="1" pivotButton="0" quotePrefix="0" xfId="0">
      <alignment horizontal="center" wrapText="1"/>
    </xf>
    <xf numFmtId="0" fontId="20" fillId="0" borderId="0" pivotButton="0" quotePrefix="0" xfId="0"/>
    <xf numFmtId="0" fontId="19" fillId="3" borderId="6" applyAlignment="1" pivotButton="0" quotePrefix="0" xfId="0">
      <alignment horizontal="center" wrapText="1"/>
    </xf>
    <xf numFmtId="0" fontId="19" fillId="0" borderId="1" applyAlignment="1" pivotButton="0" quotePrefix="0" xfId="0">
      <alignment horizontal="center" wrapText="1"/>
    </xf>
    <xf numFmtId="0" fontId="1" fillId="4" borderId="1" applyAlignment="1" pivotButton="0" quotePrefix="0" xfId="0">
      <alignment horizontal="center" wrapText="1"/>
    </xf>
    <xf numFmtId="0" fontId="1" fillId="4" borderId="6" applyAlignment="1" pivotButton="0" quotePrefix="0" xfId="0">
      <alignment vertical="top" wrapText="1"/>
    </xf>
    <xf numFmtId="0" fontId="1" fillId="4" borderId="6" applyAlignment="1" pivotButton="0" quotePrefix="0" xfId="0">
      <alignment horizontal="center" wrapText="1"/>
    </xf>
    <xf numFmtId="0" fontId="1" fillId="8" borderId="1" applyAlignment="1" pivotButton="0" quotePrefix="0" xfId="0">
      <alignment horizontal="center" wrapText="1"/>
    </xf>
    <xf numFmtId="0" fontId="1" fillId="8" borderId="6" applyAlignment="1" pivotButton="0" quotePrefix="0" xfId="0">
      <alignment vertical="top" wrapText="1"/>
    </xf>
    <xf numFmtId="0" fontId="1" fillId="8" borderId="6" applyAlignment="1" pivotButton="0" quotePrefix="0" xfId="0">
      <alignment horizontal="center" wrapText="1"/>
    </xf>
    <xf numFmtId="0" fontId="1" fillId="5" borderId="1" applyAlignment="1" pivotButton="0" quotePrefix="0" xfId="0">
      <alignment horizontal="center" wrapText="1"/>
    </xf>
    <xf numFmtId="0" fontId="1" fillId="5" borderId="6" applyAlignment="1" pivotButton="0" quotePrefix="0" xfId="0">
      <alignment vertical="top" wrapText="1"/>
    </xf>
    <xf numFmtId="0" fontId="1" fillId="5" borderId="6" applyAlignment="1" pivotButton="0" quotePrefix="0" xfId="0">
      <alignment horizontal="center" wrapText="1"/>
    </xf>
    <xf numFmtId="0" fontId="0" fillId="0" borderId="0" pivotButton="0" quotePrefix="0" xfId="0"/>
    <xf numFmtId="0" fontId="0" fillId="0" borderId="4" pivotButton="0" quotePrefix="0" xfId="0"/>
    <xf numFmtId="0" fontId="0" fillId="0" borderId="5" pivotButton="0" quotePrefix="0" xfId="0"/>
    <xf numFmtId="0" fontId="9" fillId="0" borderId="2" applyAlignment="1" pivotButton="0" quotePrefix="0" xfId="0">
      <alignment vertical="top" wrapText="1"/>
    </xf>
    <xf numFmtId="0" fontId="9" fillId="3" borderId="2" applyAlignment="1" pivotButton="0" quotePrefix="0" xfId="0">
      <alignment vertical="top" wrapText="1"/>
    </xf>
    <xf numFmtId="0" fontId="9" fillId="10" borderId="2" applyAlignment="1" pivotButton="0" quotePrefix="0" xfId="0">
      <alignment vertical="top" wrapText="1"/>
    </xf>
    <xf numFmtId="0" fontId="9" fillId="12" borderId="2" applyAlignment="1" pivotButton="0" quotePrefix="0" xfId="0">
      <alignment vertical="top" wrapText="1"/>
    </xf>
    <xf numFmtId="0" fontId="0" fillId="0" borderId="7" pivotButton="0" quotePrefix="0" xfId="0"/>
    <xf numFmtId="0" fontId="0" fillId="0" borderId="8" pivotButton="0" quotePrefix="0" xfId="0"/>
    <xf numFmtId="0" fontId="1" fillId="4" borderId="1" applyAlignment="1" pivotButton="0" quotePrefix="0" xfId="0">
      <alignment vertical="top" wrapText="1"/>
    </xf>
    <xf numFmtId="0" fontId="1" fillId="8" borderId="1" applyAlignment="1" pivotButton="0" quotePrefix="0" xfId="0">
      <alignment vertical="top" wrapText="1"/>
    </xf>
    <xf numFmtId="0" fontId="1" fillId="5" borderId="1" applyAlignment="1" pivotButton="0" quotePrefix="0" xfId="0">
      <alignment vertical="top" wrapText="1"/>
    </xf>
    <xf numFmtId="0" fontId="5" fillId="14" borderId="0" applyAlignment="1" pivotButton="0" quotePrefix="0" xfId="0">
      <alignment vertical="center"/>
    </xf>
    <xf numFmtId="0" fontId="12" fillId="0" borderId="1" applyAlignment="1" pivotButton="0" quotePrefix="0" xfId="0">
      <alignment horizontal="center" vertical="top" wrapText="1"/>
    </xf>
    <xf numFmtId="0" fontId="2" fillId="0" borderId="1" applyAlignment="1" pivotButton="0" quotePrefix="0" xfId="0">
      <alignment horizontal="center" vertical="top" wrapText="1"/>
    </xf>
    <xf numFmtId="0" fontId="7" fillId="15" borderId="1" applyAlignment="1" pivotButton="0" quotePrefix="0" xfId="0">
      <alignment horizontal="center" vertical="center" wrapText="1"/>
    </xf>
    <xf numFmtId="164" fontId="2" fillId="0" borderId="1" applyAlignment="1" pivotButton="0" quotePrefix="0" xfId="0">
      <alignment horizontal="center" vertical="top" wrapText="1"/>
    </xf>
    <xf numFmtId="165" fontId="2" fillId="0" borderId="1" applyAlignment="1" pivotButton="0" quotePrefix="0" xfId="0">
      <alignment horizontal="center" vertical="top" wrapText="1"/>
    </xf>
    <xf numFmtId="0" fontId="12" fillId="16" borderId="1" applyAlignment="1" pivotButton="0" quotePrefix="0" xfId="0">
      <alignment horizontal="center" vertical="top" wrapText="1"/>
    </xf>
    <xf numFmtId="164" fontId="2" fillId="16" borderId="1" applyAlignment="1" pivotButton="0" quotePrefix="0" xfId="0">
      <alignment horizontal="center" vertical="top" wrapText="1"/>
    </xf>
    <xf numFmtId="0" fontId="2" fillId="16" borderId="1" applyAlignment="1" pivotButton="0" quotePrefix="0" xfId="0">
      <alignment horizontal="center" vertical="top" wrapText="1"/>
    </xf>
    <xf numFmtId="165" fontId="2" fillId="16" borderId="1" applyAlignment="1" pivotButton="0" quotePrefix="0" xfId="0">
      <alignment horizontal="center" vertical="top" wrapText="1"/>
    </xf>
    <xf numFmtId="1" fontId="2" fillId="16" borderId="1"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0</col>
      <colOff>171450</colOff>
      <row>100</row>
      <rowOff>9525</rowOff>
    </from>
    <ext cx="4876800" cy="2790825"/>
    <pic>
      <nvPicPr>
        <cNvPr id="0"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180975</colOff>
      <row>114</row>
      <rowOff>133350</rowOff>
    </from>
    <ext cx="4867275" cy="2819400"/>
    <pic>
      <nvPicPr>
        <cNvPr id="0"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180975</colOff>
      <row>130</row>
      <rowOff>9525</rowOff>
    </from>
    <ext cx="4876800" cy="2781300"/>
    <pic>
      <nvPicPr>
        <cNvPr id="0" name="image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190500</colOff>
      <row>145</row>
      <rowOff>47625</rowOff>
    </from>
    <ext cx="4867275" cy="2800350"/>
    <pic>
      <nvPicPr>
        <cNvPr id="0" name="image1.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1400175</colOff>
      <row>99</row>
      <rowOff>66675</rowOff>
    </from>
    <ext cx="4876800" cy="2828925"/>
    <pic>
      <nvPicPr>
        <cNvPr id="0" name="image4.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1409700</colOff>
      <row>114</row>
      <rowOff>133350</rowOff>
    </from>
    <ext cx="4867275" cy="2800350"/>
    <pic>
      <nvPicPr>
        <cNvPr id="0" name="image5.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1400175</colOff>
      <row>130</row>
      <rowOff>9525</rowOff>
    </from>
    <ext cx="4876800" cy="2800350"/>
    <pic>
      <nvPicPr>
        <cNvPr id="0" name="image7.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rxiv.org/abs/2503.13160" TargetMode="External" Id="rId1"/><Relationship Type="http://schemas.openxmlformats.org/officeDocument/2006/relationships/hyperlink" Target="https://arxiv.org/pdf/2505.13123" TargetMode="External" Id="rId2"/><Relationship Type="http://schemas.openxmlformats.org/officeDocument/2006/relationships/hyperlink" Target="https://arxiv.org/pdf/2511.13204" TargetMode="External" Id="rId3"/><Relationship Type="http://schemas.openxmlformats.org/officeDocument/2006/relationships/hyperlink" Target="https://arxiv.org/pdf/2507.09338" TargetMode="External" Id="rId4"/></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F222"/>
  <sheetViews>
    <sheetView workbookViewId="0">
      <selection activeCell="A1" sqref="A1"/>
    </sheetView>
  </sheetViews>
  <sheetFormatPr baseColWidth="8" defaultColWidth="12.63" defaultRowHeight="15" customHeight="1"/>
  <cols>
    <col width="58.13" customWidth="1" style="139" min="1" max="1"/>
    <col width="12.63" customWidth="1" style="139" min="2" max="3"/>
    <col width="25.63" customWidth="1" style="139" min="4" max="4"/>
    <col width="62.88" customWidth="1" style="139" min="5" max="5"/>
    <col width="12.63" customWidth="1" style="139" min="6" max="6"/>
  </cols>
  <sheetData>
    <row r="1" ht="15.75" customHeight="1" s="139">
      <c r="A1" s="1" t="inlineStr">
        <is>
          <t>Tên</t>
        </is>
      </c>
      <c r="B1" s="1" t="inlineStr">
        <is>
          <t>Publisher</t>
        </is>
      </c>
      <c r="C1" s="1" t="inlineStr">
        <is>
          <t>Loại</t>
        </is>
      </c>
      <c r="D1" s="1" t="inlineStr">
        <is>
          <t>Link</t>
        </is>
      </c>
      <c r="E1" s="1" t="inlineStr">
        <is>
          <t>Reusable</t>
        </is>
      </c>
      <c r="F1" s="2" t="n"/>
    </row>
    <row r="2" ht="48.75" customHeight="1" s="139">
      <c r="A2" s="1" t="inlineStr">
        <is>
          <t>LANGUAGE-GUIDED OPEN-WORLD VIDEO ANOMALY
DETECTION UNDER WEAK SUPERVISION</t>
        </is>
      </c>
      <c r="B2" s="3" t="inlineStr">
        <is>
          <t>ICLR 2026</t>
        </is>
      </c>
      <c r="C2" s="1" t="inlineStr">
        <is>
          <t>WS</t>
        </is>
      </c>
      <c r="D2" s="10" t="inlineStr">
        <is>
          <t>https://arxiv.org/abs/2503.13160</t>
        </is>
      </c>
      <c r="E2" s="1" t="inlineStr">
        <is>
          <t>Baseline</t>
        </is>
      </c>
      <c r="F2" s="2" t="n"/>
    </row>
    <row r="3" ht="51.75" customHeight="1" s="139">
      <c r="A3" s="1" t="inlineStr">
        <is>
          <t>Just Dance with π!
A Poly-modal Inductor for Weakly-supervised 
Video Anomaly Detection</t>
        </is>
      </c>
      <c r="B3" s="1" t="inlineStr">
        <is>
          <t>arXiv 2025</t>
        </is>
      </c>
      <c r="C3" s="1" t="inlineStr">
        <is>
          <t>WS</t>
        </is>
      </c>
      <c r="D3" s="10" t="inlineStr">
        <is>
          <t>https://arxiv.org/pdf/2505.13123</t>
        </is>
      </c>
      <c r="E3" s="1" t="inlineStr">
        <is>
          <t>PMG train-time-only modality induction, Motion encoder dùng optical flow (RAFT)</t>
        </is>
      </c>
      <c r="F3" s="2" t="n"/>
    </row>
    <row r="4" ht="50.25" customHeight="1" s="139">
      <c r="A4" s="1" t="inlineStr">
        <is>
          <t>RefineVAD: Semantic-Guided Feature Recalibration
for Weakly Supervised Video Anomaly Detection</t>
        </is>
      </c>
      <c r="B4" s="1" t="inlineStr">
        <is>
          <t>AAAI 2026</t>
        </is>
      </c>
      <c r="C4" s="1" t="inlineStr">
        <is>
          <t>WS</t>
        </is>
      </c>
      <c r="D4" s="10" t="inlineStr">
        <is>
          <t>https://arxiv.org/pdf/2511.13204</t>
        </is>
      </c>
      <c r="E4" s="1" t="inlineStr">
        <is>
          <t>MoTAR motion-adaptive temporal shift: mảnh video có motion cao thì cần nhiều
temporal context hơn, nên phương pháp  này đề xuất việc mượn 1 phần temporal
context từ khung hình trước.</t>
        </is>
      </c>
      <c r="F4" s="2" t="n"/>
    </row>
    <row r="5" ht="45.75" customHeight="1" s="139">
      <c r="A5" s="1" t="inlineStr">
        <is>
          <t>SimpleTAD: Simplifying Traffic Anomaly Detection 
with Video Foundation Models</t>
        </is>
      </c>
      <c r="B5" s="1" t="inlineStr">
        <is>
          <t>CVPR 2025</t>
        </is>
      </c>
      <c r="C5" s="1" t="inlineStr">
        <is>
          <t>Fully-supervised, 
Training Free</t>
        </is>
      </c>
      <c r="D5" s="10" t="inlineStr">
        <is>
          <t>https://arxiv.org/pdf/2507.09338</t>
        </is>
      </c>
      <c r="E5" s="1" t="inlineStr">
        <is>
          <t>Paper có kết quả training training và evaluation trên 2 datasets giao 
thông (DoTA, DADA2000), có thể dùng để so sánh kết quả với proposed model</t>
        </is>
      </c>
      <c r="F5" s="2" t="n"/>
    </row>
    <row r="6" ht="15.75" customHeight="1" s="139">
      <c r="A6" s="2" t="n"/>
      <c r="B6" s="2" t="n"/>
      <c r="C6" s="2" t="n"/>
      <c r="D6" s="2" t="n"/>
      <c r="E6" s="2" t="n"/>
      <c r="F6" s="2" t="n"/>
    </row>
    <row r="7" ht="15.75" customHeight="1" s="139">
      <c r="A7" s="2" t="n"/>
      <c r="B7" s="2" t="n"/>
      <c r="C7" s="2" t="n"/>
      <c r="D7" s="2" t="n"/>
      <c r="E7" s="2" t="n"/>
      <c r="F7" s="2" t="n"/>
    </row>
    <row r="8" ht="15.75" customHeight="1" s="139">
      <c r="A8" s="2" t="n"/>
      <c r="B8" s="2" t="n"/>
      <c r="C8" s="2" t="n"/>
      <c r="D8" s="2" t="n"/>
      <c r="E8" s="2" t="n"/>
      <c r="F8" s="2" t="n"/>
    </row>
    <row r="9" ht="15.75" customHeight="1" s="139">
      <c r="A9" s="2" t="n"/>
      <c r="B9" s="2" t="n"/>
      <c r="C9" s="2" t="n"/>
      <c r="D9" s="2" t="n"/>
      <c r="E9" s="2" t="n"/>
      <c r="F9" s="2" t="n"/>
    </row>
    <row r="10" ht="15.75" customHeight="1" s="139">
      <c r="A10" s="2" t="n"/>
      <c r="B10" s="2" t="n"/>
      <c r="C10" s="2" t="n"/>
      <c r="D10" s="2" t="n"/>
      <c r="E10" s="2" t="n"/>
      <c r="F10" s="2" t="n"/>
    </row>
    <row r="11" ht="15.75" customHeight="1" s="139">
      <c r="A11" s="2" t="n"/>
      <c r="B11" s="2" t="n"/>
      <c r="C11" s="2" t="n"/>
      <c r="D11" s="2" t="n"/>
      <c r="E11" s="2" t="n"/>
      <c r="F11" s="2" t="n"/>
    </row>
    <row r="12" ht="15.75" customHeight="1" s="139">
      <c r="A12" s="2" t="n"/>
      <c r="B12" s="2" t="n"/>
      <c r="C12" s="2" t="n"/>
      <c r="D12" s="2" t="n"/>
      <c r="E12" s="2" t="n"/>
      <c r="F12" s="2" t="n"/>
    </row>
    <row r="13" ht="15.75" customHeight="1" s="139">
      <c r="A13" s="39" t="inlineStr">
        <is>
          <t>Research Gap của LaGoVAD</t>
        </is>
      </c>
      <c r="B13" s="2" t="n"/>
      <c r="C13" s="2" t="n"/>
      <c r="D13" s="2" t="n"/>
      <c r="E13" s="2" t="n"/>
      <c r="F13" s="2" t="n"/>
    </row>
    <row r="14" ht="29.25" customHeight="1" s="139">
      <c r="A14" s="1" t="inlineStr">
        <is>
          <t>- Chỉ áp dụng cho các dataset có góc camera cố định (CCTV)</t>
        </is>
      </c>
      <c r="B14" s="2" t="n"/>
      <c r="C14" s="2" t="n"/>
      <c r="D14" s="2" t="n"/>
      <c r="E14" s="2" t="n"/>
      <c r="F14" s="2" t="n"/>
    </row>
    <row r="15" ht="61.5" customHeight="1" s="139">
      <c r="A15" s="1" t="inlineStr">
        <is>
          <t>- Chưa encode được nhưng thông tin về động học chuyển động, 
sự thay đổi bất ngờ về vận tốc trong các dataset trong giao thông
ví dụ như va chạm, lạng lách, đánh võng, etc.</t>
        </is>
      </c>
      <c r="B15" s="2" t="n"/>
      <c r="C15" s="2" t="n"/>
      <c r="D15" s="2" t="n"/>
      <c r="E15" s="2" t="n"/>
      <c r="F15" s="2" t="n"/>
    </row>
    <row r="16" ht="49.5" customHeight="1" s="139">
      <c r="A16" s="1" t="inlineStr">
        <is>
          <t>- Zero-shot evaluation trên DoTA kết quả thấp (AUC ~ 0.62)</t>
        </is>
      </c>
      <c r="B16" s="2" t="n"/>
      <c r="C16" s="2" t="n"/>
      <c r="D16" s="2" t="n"/>
      <c r="E16" s="2" t="n"/>
      <c r="F16" s="2" t="n"/>
    </row>
    <row r="17" ht="15.75" customHeight="1" s="139">
      <c r="A17" s="2" t="n"/>
      <c r="B17" s="2" t="n"/>
      <c r="C17" s="2" t="n"/>
      <c r="D17" s="2" t="n"/>
      <c r="E17" s="2" t="n"/>
      <c r="F17" s="2" t="n"/>
    </row>
    <row r="18" ht="15.75" customHeight="1" s="139">
      <c r="A18" s="39" t="inlineStr">
        <is>
          <t>Lý do chọn LaGoVAD</t>
        </is>
      </c>
      <c r="B18" s="2" t="n"/>
      <c r="C18" s="2" t="n"/>
      <c r="D18" s="2" t="n"/>
      <c r="E18" s="2" t="n"/>
      <c r="F18" s="2" t="n"/>
    </row>
    <row r="19" ht="15.75" customHeight="1" s="139">
      <c r="A19" s="1" t="inlineStr">
        <is>
          <t>- Support weakly-supervised</t>
        </is>
      </c>
      <c r="B19" s="2" t="n"/>
      <c r="C19" s="2" t="n"/>
      <c r="D19" s="2" t="n"/>
      <c r="E19" s="2" t="n"/>
      <c r="F19" s="2" t="n"/>
    </row>
    <row r="20" ht="45" customHeight="1" s="139">
      <c r="A20" s="1" t="inlineStr">
        <is>
          <t>- Có thể làm baseline để so sánh kết quả vì đã có kết quả zero-shot 
trên các dataset về giao thông như TAD, DoTA</t>
        </is>
      </c>
      <c r="B20" s="2" t="n"/>
      <c r="C20" s="2" t="n"/>
      <c r="D20" s="2" t="n"/>
      <c r="E20" s="2" t="n"/>
      <c r="F20" s="2" t="n"/>
    </row>
    <row r="21" ht="49.5" customHeight="1" s="139">
      <c r="A21" s="1" t="inlineStr">
        <is>
          <t>- Hỗ trợ context drift đặc biệt là trong dataset về giao thông ví dụ: 
Người đi bộ trên vỉa hè thì là bình thường nhưng đi bộ trên đường cao
tốc thì sẽ là bất thường (cần có mô tả cho từng video ở frame level) khi train</t>
        </is>
      </c>
      <c r="B21" s="2" t="n"/>
      <c r="C21" s="2" t="n"/>
      <c r="D21" s="2" t="n"/>
      <c r="E21" s="2" t="n"/>
      <c r="F21" s="2" t="n"/>
    </row>
    <row r="22" ht="51.75" customHeight="1" s="139">
      <c r="A22" s="1" t="inlineStr">
        <is>
          <t>- LaGoVAD zero shot trên DoTA đạt kết quả thấp nhất trong các dataset
dùng làm zero shot do thiếu encode thông tin về động học, chuyển động</t>
        </is>
      </c>
      <c r="B22" s="2" t="n"/>
      <c r="C22" s="2" t="n"/>
      <c r="D22" s="2" t="n"/>
      <c r="E22" s="2" t="n"/>
      <c r="F22" s="2" t="n"/>
    </row>
    <row r="23" ht="15.75" customHeight="1" s="139">
      <c r="A23" s="2" t="n"/>
      <c r="B23" s="2" t="n"/>
      <c r="C23" s="2" t="n"/>
      <c r="D23" s="2" t="n"/>
      <c r="E23" s="2" t="n"/>
      <c r="F23" s="2" t="n"/>
    </row>
    <row r="24" ht="15.75" customHeight="1" s="139">
      <c r="A24" s="2" t="n"/>
      <c r="B24" s="2" t="n"/>
      <c r="C24" s="2" t="n"/>
      <c r="D24" s="2" t="n"/>
      <c r="E24" s="2" t="n"/>
      <c r="F24" s="2" t="n"/>
    </row>
    <row r="25" ht="15.75" customHeight="1" s="139">
      <c r="A25" s="2" t="n"/>
      <c r="B25" s="2" t="n"/>
      <c r="C25" s="2" t="n"/>
      <c r="D25" s="2" t="n"/>
      <c r="E25" s="2" t="n"/>
      <c r="F25" s="2" t="n"/>
    </row>
    <row r="26" ht="15.75" customHeight="1" s="139">
      <c r="A26" s="2" t="n"/>
      <c r="B26" s="2" t="n"/>
      <c r="C26" s="2" t="n"/>
      <c r="D26" s="2" t="n"/>
      <c r="E26" s="2" t="n"/>
      <c r="F26" s="2" t="n"/>
    </row>
    <row r="27" ht="15.75" customHeight="1" s="139">
      <c r="A27" s="2" t="n"/>
      <c r="B27" s="2" t="n"/>
      <c r="C27" s="2" t="n"/>
      <c r="D27" s="2" t="n"/>
      <c r="E27" s="2" t="n"/>
      <c r="F27" s="2" t="n"/>
    </row>
    <row r="28" ht="15.75" customHeight="1" s="139">
      <c r="A28" s="2" t="n"/>
      <c r="B28" s="2" t="n"/>
      <c r="C28" s="2" t="n"/>
      <c r="D28" s="2" t="n"/>
      <c r="E28" s="2" t="n"/>
      <c r="F28" s="2" t="n"/>
    </row>
    <row r="29" ht="15.75" customHeight="1" s="139">
      <c r="A29" s="2" t="n"/>
      <c r="B29" s="2" t="n"/>
      <c r="C29" s="2" t="n"/>
      <c r="D29" s="2" t="n"/>
      <c r="E29" s="2" t="n"/>
      <c r="F29" s="2" t="n"/>
    </row>
    <row r="30" ht="15.75" customHeight="1" s="139">
      <c r="A30" s="2" t="n"/>
      <c r="B30" s="2" t="n"/>
      <c r="C30" s="2" t="n"/>
      <c r="D30" s="2" t="n"/>
      <c r="E30" s="2" t="n"/>
      <c r="F30" s="2" t="n"/>
    </row>
    <row r="31" ht="15.75" customHeight="1" s="139">
      <c r="A31" s="2" t="n"/>
      <c r="B31" s="2" t="n"/>
      <c r="C31" s="2" t="n"/>
      <c r="D31" s="2" t="n"/>
      <c r="E31" s="2" t="n"/>
      <c r="F31" s="2" t="n"/>
    </row>
    <row r="32" ht="15.75" customHeight="1" s="139">
      <c r="A32" s="2" t="n"/>
      <c r="B32" s="2" t="n"/>
      <c r="C32" s="2" t="n"/>
      <c r="D32" s="2" t="n"/>
      <c r="E32" s="2" t="n"/>
      <c r="F32" s="2" t="n"/>
    </row>
    <row r="33" ht="15.75" customHeight="1" s="139">
      <c r="A33" s="2" t="n"/>
      <c r="B33" s="2" t="n"/>
      <c r="C33" s="2" t="n"/>
      <c r="D33" s="2" t="n"/>
      <c r="E33" s="2" t="n"/>
      <c r="F33" s="2" t="n"/>
    </row>
    <row r="34" ht="15.75" customHeight="1" s="139">
      <c r="A34" s="2" t="n"/>
      <c r="B34" s="2" t="n"/>
      <c r="C34" s="2" t="n"/>
      <c r="D34" s="2" t="n"/>
      <c r="E34" s="2" t="n"/>
      <c r="F34" s="2" t="n"/>
    </row>
    <row r="35" ht="15.75" customHeight="1" s="139">
      <c r="A35" s="2" t="n"/>
      <c r="B35" s="2" t="n"/>
      <c r="C35" s="2" t="n"/>
      <c r="D35" s="2" t="n"/>
      <c r="E35" s="2" t="n"/>
      <c r="F35" s="2" t="n"/>
    </row>
    <row r="36" ht="15.75" customHeight="1" s="139">
      <c r="A36" s="2" t="n"/>
      <c r="B36" s="2" t="n"/>
      <c r="C36" s="2" t="n"/>
      <c r="D36" s="2" t="n"/>
      <c r="E36" s="2" t="n"/>
      <c r="F36" s="2" t="n"/>
    </row>
    <row r="37" ht="15.75" customHeight="1" s="139">
      <c r="A37" s="2" t="n"/>
      <c r="B37" s="2" t="n"/>
      <c r="C37" s="2" t="n"/>
      <c r="D37" s="2" t="n"/>
      <c r="E37" s="2" t="n"/>
      <c r="F37" s="2" t="n"/>
    </row>
    <row r="38" ht="15.75" customHeight="1" s="139">
      <c r="A38" s="2" t="n"/>
      <c r="B38" s="2" t="n"/>
      <c r="C38" s="2" t="n"/>
      <c r="D38" s="2" t="n"/>
      <c r="E38" s="2" t="n"/>
      <c r="F38" s="2" t="n"/>
    </row>
    <row r="39" ht="15.75" customHeight="1" s="139">
      <c r="A39" s="2" t="n"/>
      <c r="B39" s="2" t="n"/>
      <c r="C39" s="2" t="n"/>
      <c r="D39" s="2" t="n"/>
      <c r="E39" s="2" t="n"/>
      <c r="F39" s="2" t="n"/>
    </row>
    <row r="40" ht="15.75" customHeight="1" s="139">
      <c r="A40" s="2" t="n"/>
      <c r="B40" s="2" t="n"/>
      <c r="C40" s="2" t="n"/>
      <c r="D40" s="2" t="n"/>
      <c r="E40" s="2" t="n"/>
      <c r="F40" s="2" t="n"/>
    </row>
    <row r="41" ht="15.75" customHeight="1" s="139">
      <c r="A41" s="2" t="n"/>
      <c r="B41" s="2" t="n"/>
      <c r="C41" s="2" t="n"/>
      <c r="D41" s="2" t="n"/>
      <c r="E41" s="2" t="n"/>
      <c r="F41" s="2" t="n"/>
    </row>
    <row r="42" ht="15.75" customHeight="1" s="139">
      <c r="A42" s="2" t="n"/>
      <c r="B42" s="2" t="n"/>
      <c r="C42" s="2" t="n"/>
      <c r="D42" s="2" t="n"/>
      <c r="E42" s="2" t="n"/>
      <c r="F42" s="2" t="n"/>
    </row>
    <row r="43" ht="15.75" customHeight="1" s="139">
      <c r="A43" s="2" t="n"/>
      <c r="B43" s="2" t="n"/>
      <c r="C43" s="2" t="n"/>
      <c r="D43" s="2" t="n"/>
      <c r="E43" s="2" t="n"/>
      <c r="F43" s="2" t="n"/>
    </row>
    <row r="44" ht="15.75" customHeight="1" s="139">
      <c r="A44" s="2" t="n"/>
      <c r="B44" s="2" t="n"/>
      <c r="C44" s="2" t="n"/>
      <c r="D44" s="2" t="n"/>
      <c r="E44" s="2" t="n"/>
      <c r="F44" s="2" t="n"/>
    </row>
    <row r="45" ht="15.75" customHeight="1" s="139">
      <c r="A45" s="2" t="n"/>
      <c r="B45" s="2" t="n"/>
      <c r="C45" s="2" t="n"/>
      <c r="D45" s="2" t="n"/>
      <c r="E45" s="2" t="n"/>
      <c r="F45" s="2" t="n"/>
    </row>
    <row r="46" ht="15.75" customHeight="1" s="139">
      <c r="A46" s="2" t="n"/>
      <c r="B46" s="2" t="n"/>
      <c r="C46" s="2" t="n"/>
      <c r="D46" s="2" t="n"/>
      <c r="E46" s="2" t="n"/>
      <c r="F46" s="2" t="n"/>
    </row>
    <row r="47" ht="15.75" customHeight="1" s="139">
      <c r="A47" s="2" t="n"/>
      <c r="B47" s="2" t="n"/>
      <c r="C47" s="2" t="n"/>
      <c r="D47" s="2" t="n"/>
      <c r="E47" s="2" t="n"/>
      <c r="F47" s="2" t="n"/>
    </row>
    <row r="48" ht="15.75" customHeight="1" s="139">
      <c r="A48" s="2" t="n"/>
      <c r="B48" s="2" t="n"/>
      <c r="C48" s="2" t="n"/>
      <c r="D48" s="2" t="n"/>
      <c r="E48" s="2" t="n"/>
      <c r="F48" s="2" t="n"/>
    </row>
    <row r="49" ht="15.75" customHeight="1" s="139">
      <c r="A49" s="2" t="n"/>
      <c r="B49" s="2" t="n"/>
      <c r="C49" s="2" t="n"/>
      <c r="D49" s="2" t="n"/>
      <c r="E49" s="2" t="n"/>
      <c r="F49" s="2" t="n"/>
    </row>
    <row r="50" ht="15.75" customHeight="1" s="139">
      <c r="A50" s="2" t="n"/>
      <c r="B50" s="2" t="n"/>
      <c r="C50" s="2" t="n"/>
      <c r="D50" s="2" t="n"/>
      <c r="E50" s="2" t="n"/>
      <c r="F50" s="2" t="n"/>
    </row>
    <row r="51" ht="15.75" customHeight="1" s="139">
      <c r="A51" s="2" t="n"/>
      <c r="B51" s="2" t="n"/>
      <c r="C51" s="2" t="n"/>
      <c r="D51" s="2" t="n"/>
      <c r="E51" s="2" t="n"/>
      <c r="F51" s="2" t="n"/>
    </row>
    <row r="52" ht="15.75" customHeight="1" s="139">
      <c r="A52" s="2" t="n"/>
      <c r="B52" s="2" t="n"/>
      <c r="C52" s="2" t="n"/>
      <c r="D52" s="2" t="n"/>
      <c r="E52" s="2" t="n"/>
      <c r="F52" s="2" t="n"/>
    </row>
    <row r="53" ht="15.75" customHeight="1" s="139">
      <c r="A53" s="2" t="n"/>
      <c r="B53" s="2" t="n"/>
      <c r="C53" s="2" t="n"/>
      <c r="D53" s="2" t="n"/>
      <c r="E53" s="2" t="n"/>
      <c r="F53" s="2" t="n"/>
    </row>
    <row r="54" ht="15.75" customHeight="1" s="139">
      <c r="A54" s="2" t="n"/>
      <c r="B54" s="2" t="n"/>
      <c r="C54" s="2" t="n"/>
      <c r="D54" s="2" t="n"/>
      <c r="E54" s="2" t="n"/>
      <c r="F54" s="2" t="n"/>
    </row>
    <row r="55" ht="15.75" customHeight="1" s="139">
      <c r="A55" s="2" t="n"/>
      <c r="B55" s="2" t="n"/>
      <c r="C55" s="2" t="n"/>
      <c r="D55" s="2" t="n"/>
      <c r="E55" s="2" t="n"/>
      <c r="F55" s="2" t="n"/>
    </row>
    <row r="56" ht="15.75" customHeight="1" s="139">
      <c r="A56" s="2" t="n"/>
      <c r="B56" s="2" t="n"/>
      <c r="C56" s="2" t="n"/>
      <c r="D56" s="2" t="n"/>
      <c r="E56" s="2" t="n"/>
      <c r="F56" s="2" t="n"/>
    </row>
    <row r="57" ht="15.75" customHeight="1" s="139">
      <c r="A57" s="2" t="n"/>
      <c r="B57" s="2" t="n"/>
      <c r="C57" s="2" t="n"/>
      <c r="D57" s="2" t="n"/>
      <c r="E57" s="2" t="n"/>
      <c r="F57" s="2" t="n"/>
    </row>
    <row r="58" ht="15.75" customHeight="1" s="139">
      <c r="A58" s="2" t="n"/>
      <c r="B58" s="2" t="n"/>
      <c r="C58" s="2" t="n"/>
      <c r="D58" s="2" t="n"/>
      <c r="E58" s="2" t="n"/>
      <c r="F58" s="2" t="n"/>
    </row>
    <row r="59" ht="15.75" customHeight="1" s="139">
      <c r="A59" s="2" t="n"/>
      <c r="B59" s="2" t="n"/>
      <c r="C59" s="2" t="n"/>
      <c r="D59" s="2" t="n"/>
      <c r="E59" s="2" t="n"/>
      <c r="F59" s="2" t="n"/>
    </row>
    <row r="60" ht="15.75" customHeight="1" s="139">
      <c r="A60" s="2" t="n"/>
      <c r="B60" s="2" t="n"/>
      <c r="C60" s="2" t="n"/>
      <c r="D60" s="2" t="n"/>
      <c r="E60" s="2" t="n"/>
      <c r="F60" s="2" t="n"/>
    </row>
    <row r="61" ht="15.75" customHeight="1" s="139">
      <c r="A61" s="2" t="n"/>
      <c r="B61" s="2" t="n"/>
      <c r="C61" s="2" t="n"/>
      <c r="D61" s="2" t="n"/>
      <c r="E61" s="2" t="n"/>
      <c r="F61" s="2" t="n"/>
    </row>
    <row r="62" ht="15.75" customHeight="1" s="139">
      <c r="A62" s="2" t="n"/>
      <c r="B62" s="2" t="n"/>
      <c r="C62" s="2" t="n"/>
      <c r="D62" s="2" t="n"/>
      <c r="E62" s="2" t="n"/>
      <c r="F62" s="2" t="n"/>
    </row>
    <row r="63" ht="15.75" customHeight="1" s="139">
      <c r="A63" s="2" t="n"/>
      <c r="B63" s="2" t="n"/>
      <c r="C63" s="2" t="n"/>
      <c r="D63" s="2" t="n"/>
      <c r="E63" s="2" t="n"/>
      <c r="F63" s="2" t="n"/>
    </row>
    <row r="64" ht="15.75" customHeight="1" s="139">
      <c r="A64" s="2" t="n"/>
      <c r="B64" s="2" t="n"/>
      <c r="C64" s="2" t="n"/>
      <c r="D64" s="2" t="n"/>
      <c r="E64" s="2" t="n"/>
      <c r="F64" s="2" t="n"/>
    </row>
    <row r="65" ht="15.75" customHeight="1" s="139">
      <c r="A65" s="2" t="n"/>
      <c r="B65" s="2" t="n"/>
      <c r="C65" s="2" t="n"/>
      <c r="D65" s="2" t="n"/>
      <c r="E65" s="2" t="n"/>
      <c r="F65" s="2" t="n"/>
    </row>
    <row r="66" ht="15.75" customHeight="1" s="139">
      <c r="A66" s="2" t="n"/>
      <c r="B66" s="2" t="n"/>
      <c r="C66" s="2" t="n"/>
      <c r="D66" s="2" t="n"/>
      <c r="E66" s="2" t="n"/>
      <c r="F66" s="2" t="n"/>
    </row>
    <row r="67" ht="15.75" customHeight="1" s="139">
      <c r="A67" s="2" t="n"/>
      <c r="B67" s="2" t="n"/>
      <c r="C67" s="2" t="n"/>
      <c r="D67" s="2" t="n"/>
      <c r="E67" s="2" t="n"/>
      <c r="F67" s="2" t="n"/>
    </row>
    <row r="68" ht="15.75" customHeight="1" s="139">
      <c r="A68" s="2" t="n"/>
      <c r="B68" s="2" t="n"/>
      <c r="C68" s="2" t="n"/>
      <c r="D68" s="2" t="n"/>
      <c r="E68" s="2" t="n"/>
      <c r="F68" s="2" t="n"/>
    </row>
    <row r="69" ht="15.75" customHeight="1" s="139">
      <c r="A69" s="2" t="n"/>
      <c r="B69" s="2" t="n"/>
      <c r="C69" s="2" t="n"/>
      <c r="D69" s="2" t="n"/>
      <c r="E69" s="2" t="n"/>
      <c r="F69" s="2" t="n"/>
    </row>
    <row r="70" ht="15.75" customHeight="1" s="139">
      <c r="A70" s="2" t="n"/>
      <c r="B70" s="2" t="n"/>
      <c r="C70" s="2" t="n"/>
      <c r="D70" s="2" t="n"/>
      <c r="E70" s="2" t="n"/>
      <c r="F70" s="2" t="n"/>
    </row>
    <row r="71" ht="15.75" customHeight="1" s="139">
      <c r="A71" s="2" t="n"/>
      <c r="B71" s="2" t="n"/>
      <c r="C71" s="2" t="n"/>
      <c r="D71" s="2" t="n"/>
      <c r="E71" s="2" t="n"/>
      <c r="F71" s="2" t="n"/>
    </row>
    <row r="72" ht="15.75" customHeight="1" s="139">
      <c r="A72" s="2" t="n"/>
      <c r="B72" s="2" t="n"/>
      <c r="C72" s="2" t="n"/>
      <c r="D72" s="2" t="n"/>
      <c r="E72" s="2" t="n"/>
      <c r="F72" s="2" t="n"/>
    </row>
    <row r="73" ht="15.75" customHeight="1" s="139">
      <c r="A73" s="2" t="n"/>
      <c r="B73" s="2" t="n"/>
      <c r="C73" s="2" t="n"/>
      <c r="D73" s="2" t="n"/>
      <c r="E73" s="2" t="n"/>
      <c r="F73" s="2" t="n"/>
    </row>
    <row r="74" ht="15.75" customHeight="1" s="139">
      <c r="A74" s="2" t="n"/>
      <c r="B74" s="2" t="n"/>
      <c r="C74" s="2" t="n"/>
      <c r="D74" s="2" t="n"/>
      <c r="E74" s="2" t="n"/>
      <c r="F74" s="2" t="n"/>
    </row>
    <row r="75" ht="15.75" customHeight="1" s="139">
      <c r="A75" s="2" t="n"/>
      <c r="B75" s="2" t="n"/>
      <c r="C75" s="2" t="n"/>
      <c r="D75" s="2" t="n"/>
      <c r="E75" s="2" t="n"/>
      <c r="F75" s="2" t="n"/>
    </row>
    <row r="76" ht="15.75" customHeight="1" s="139">
      <c r="A76" s="2" t="n"/>
      <c r="B76" s="2" t="n"/>
      <c r="C76" s="2" t="n"/>
      <c r="D76" s="2" t="n"/>
      <c r="E76" s="2" t="n"/>
      <c r="F76" s="2" t="n"/>
    </row>
    <row r="77" ht="15.75" customHeight="1" s="139">
      <c r="A77" s="2" t="n"/>
      <c r="B77" s="2" t="n"/>
      <c r="C77" s="2" t="n"/>
      <c r="D77" s="2" t="n"/>
      <c r="E77" s="2" t="n"/>
      <c r="F77" s="2" t="n"/>
    </row>
    <row r="78" ht="15.75" customHeight="1" s="139">
      <c r="A78" s="2" t="n"/>
      <c r="B78" s="2" t="n"/>
      <c r="C78" s="2" t="n"/>
      <c r="D78" s="2" t="n"/>
      <c r="E78" s="2" t="n"/>
      <c r="F78" s="2" t="n"/>
    </row>
    <row r="79" ht="15.75" customHeight="1" s="139">
      <c r="A79" s="2" t="n"/>
      <c r="B79" s="2" t="n"/>
      <c r="C79" s="2" t="n"/>
      <c r="D79" s="2" t="n"/>
      <c r="E79" s="2" t="n"/>
      <c r="F79" s="2" t="n"/>
    </row>
    <row r="80" ht="15.75" customHeight="1" s="139">
      <c r="A80" s="2" t="n"/>
      <c r="B80" s="2" t="n"/>
      <c r="C80" s="2" t="n"/>
      <c r="D80" s="2" t="n"/>
      <c r="E80" s="2" t="n"/>
      <c r="F80" s="2" t="n"/>
    </row>
    <row r="81" ht="15.75" customHeight="1" s="139">
      <c r="A81" s="2" t="n"/>
      <c r="B81" s="2" t="n"/>
      <c r="C81" s="2" t="n"/>
      <c r="D81" s="2" t="n"/>
      <c r="E81" s="2" t="n"/>
      <c r="F81" s="2" t="n"/>
    </row>
    <row r="82" ht="15.75" customHeight="1" s="139">
      <c r="A82" s="2" t="n"/>
      <c r="B82" s="2" t="n"/>
      <c r="C82" s="2" t="n"/>
      <c r="D82" s="2" t="n"/>
      <c r="E82" s="2" t="n"/>
      <c r="F82" s="2" t="n"/>
    </row>
    <row r="83" ht="15.75" customHeight="1" s="139">
      <c r="A83" s="2" t="n"/>
      <c r="B83" s="2" t="n"/>
      <c r="C83" s="2" t="n"/>
      <c r="D83" s="2" t="n"/>
      <c r="E83" s="2" t="n"/>
      <c r="F83" s="2" t="n"/>
    </row>
    <row r="84" ht="15.75" customHeight="1" s="139">
      <c r="A84" s="2" t="n"/>
      <c r="B84" s="2" t="n"/>
      <c r="C84" s="2" t="n"/>
      <c r="D84" s="2" t="n"/>
      <c r="E84" s="2" t="n"/>
      <c r="F84" s="2" t="n"/>
    </row>
    <row r="85" ht="15.75" customHeight="1" s="139">
      <c r="A85" s="2" t="n"/>
      <c r="B85" s="2" t="n"/>
      <c r="C85" s="2" t="n"/>
      <c r="D85" s="2" t="n"/>
      <c r="E85" s="2" t="n"/>
      <c r="F85" s="2" t="n"/>
    </row>
    <row r="86" ht="15.75" customHeight="1" s="139">
      <c r="A86" s="2" t="n"/>
      <c r="B86" s="2" t="n"/>
      <c r="C86" s="2" t="n"/>
      <c r="D86" s="2" t="n"/>
      <c r="E86" s="2" t="n"/>
      <c r="F86" s="2" t="n"/>
    </row>
    <row r="87" ht="15.75" customHeight="1" s="139">
      <c r="A87" s="2" t="n"/>
      <c r="B87" s="2" t="n"/>
      <c r="C87" s="2" t="n"/>
      <c r="D87" s="2" t="n"/>
      <c r="E87" s="2" t="n"/>
      <c r="F87" s="2" t="n"/>
    </row>
    <row r="88" ht="15.75" customHeight="1" s="139">
      <c r="A88" s="2" t="n"/>
      <c r="B88" s="2" t="n"/>
      <c r="C88" s="2" t="n"/>
      <c r="D88" s="2" t="n"/>
      <c r="E88" s="2" t="n"/>
      <c r="F88" s="2" t="n"/>
    </row>
    <row r="89" ht="15.75" customHeight="1" s="139">
      <c r="A89" s="2" t="n"/>
      <c r="B89" s="2" t="n"/>
      <c r="C89" s="2" t="n"/>
      <c r="D89" s="2" t="n"/>
      <c r="E89" s="2" t="n"/>
      <c r="F89" s="2" t="n"/>
    </row>
    <row r="90" ht="15.75" customHeight="1" s="139">
      <c r="A90" s="2" t="n"/>
      <c r="B90" s="2" t="n"/>
      <c r="C90" s="2" t="n"/>
      <c r="D90" s="2" t="n"/>
      <c r="E90" s="2" t="n"/>
      <c r="F90" s="2" t="n"/>
    </row>
    <row r="91" ht="15.75" customHeight="1" s="139">
      <c r="A91" s="2" t="n"/>
      <c r="B91" s="2" t="n"/>
      <c r="C91" s="2" t="n"/>
      <c r="D91" s="2" t="n"/>
      <c r="E91" s="2" t="n"/>
      <c r="F91" s="2" t="n"/>
    </row>
    <row r="92" ht="15.75" customHeight="1" s="139">
      <c r="A92" s="2" t="n"/>
      <c r="B92" s="2" t="n"/>
      <c r="C92" s="2" t="n"/>
      <c r="D92" s="2" t="n"/>
      <c r="E92" s="2" t="n"/>
      <c r="F92" s="2" t="n"/>
    </row>
    <row r="93" ht="15.75" customHeight="1" s="139">
      <c r="A93" s="2" t="n"/>
      <c r="B93" s="2" t="n"/>
      <c r="C93" s="2" t="n"/>
      <c r="D93" s="2" t="n"/>
      <c r="E93" s="2" t="n"/>
      <c r="F93" s="2" t="n"/>
    </row>
    <row r="94" ht="15.75" customHeight="1" s="139">
      <c r="A94" s="2" t="n"/>
      <c r="B94" s="2" t="n"/>
      <c r="C94" s="2" t="n"/>
      <c r="D94" s="2" t="n"/>
      <c r="E94" s="2" t="n"/>
      <c r="F94" s="2" t="n"/>
    </row>
    <row r="95" ht="15.75" customHeight="1" s="139">
      <c r="A95" s="2" t="n"/>
      <c r="B95" s="2" t="n"/>
      <c r="C95" s="2" t="n"/>
      <c r="D95" s="2" t="n"/>
      <c r="E95" s="2" t="n"/>
      <c r="F95" s="2" t="n"/>
    </row>
    <row r="96" ht="15.75" customHeight="1" s="139">
      <c r="A96" s="2" t="n"/>
      <c r="B96" s="2" t="n"/>
      <c r="C96" s="2" t="n"/>
      <c r="D96" s="2" t="n"/>
      <c r="E96" s="2" t="n"/>
      <c r="F96" s="2" t="n"/>
    </row>
    <row r="97" ht="15.75" customHeight="1" s="139">
      <c r="A97" s="2" t="n"/>
      <c r="B97" s="2" t="n"/>
      <c r="C97" s="2" t="n"/>
      <c r="D97" s="2" t="n"/>
      <c r="E97" s="2" t="n"/>
      <c r="F97" s="2" t="n"/>
    </row>
    <row r="98" ht="15.75" customHeight="1" s="139">
      <c r="A98" s="2" t="n"/>
      <c r="B98" s="2" t="n"/>
      <c r="C98" s="2" t="n"/>
      <c r="D98" s="2" t="n"/>
      <c r="E98" s="2" t="n"/>
      <c r="F98" s="2" t="n"/>
    </row>
    <row r="99" ht="15.75" customHeight="1" s="139">
      <c r="A99" s="2" t="n"/>
      <c r="B99" s="2" t="n"/>
      <c r="C99" s="2" t="n"/>
      <c r="D99" s="2" t="n"/>
      <c r="E99" s="2" t="n"/>
      <c r="F99" s="2" t="n"/>
    </row>
    <row r="100" ht="15.75" customHeight="1" s="139">
      <c r="A100" s="2" t="n"/>
      <c r="B100" s="2" t="n"/>
      <c r="C100" s="2" t="n"/>
      <c r="D100" s="2" t="n"/>
      <c r="E100" s="2" t="n"/>
      <c r="F100" s="2" t="n"/>
    </row>
    <row r="101" ht="15.75" customHeight="1" s="139">
      <c r="A101" s="2" t="n"/>
      <c r="B101" s="2" t="n"/>
      <c r="C101" s="2" t="n"/>
      <c r="D101" s="2" t="n"/>
      <c r="E101" s="2" t="n"/>
      <c r="F101" s="2" t="n"/>
    </row>
    <row r="102" ht="15.75" customHeight="1" s="139">
      <c r="A102" s="2" t="n"/>
      <c r="B102" s="2" t="n"/>
      <c r="C102" s="2" t="n"/>
      <c r="D102" s="2" t="n"/>
      <c r="E102" s="2" t="n"/>
      <c r="F102" s="2" t="n"/>
    </row>
    <row r="103" ht="15.75" customHeight="1" s="139">
      <c r="A103" s="2" t="n"/>
      <c r="B103" s="2" t="n"/>
      <c r="C103" s="2" t="n"/>
      <c r="D103" s="2" t="n"/>
      <c r="E103" s="2" t="n"/>
      <c r="F103" s="2" t="n"/>
    </row>
    <row r="104" ht="15.75" customHeight="1" s="139">
      <c r="A104" s="2" t="n"/>
      <c r="B104" s="2" t="n"/>
      <c r="C104" s="2" t="n"/>
      <c r="D104" s="2" t="n"/>
      <c r="E104" s="2" t="n"/>
      <c r="F104" s="2" t="n"/>
    </row>
    <row r="105" ht="15.75" customHeight="1" s="139">
      <c r="A105" s="2" t="n"/>
      <c r="B105" s="2" t="n"/>
      <c r="C105" s="2" t="n"/>
      <c r="D105" s="2" t="n"/>
      <c r="E105" s="2" t="n"/>
      <c r="F105" s="2" t="n"/>
    </row>
    <row r="106" ht="15.75" customHeight="1" s="139">
      <c r="A106" s="2" t="n"/>
      <c r="B106" s="2" t="n"/>
      <c r="C106" s="2" t="n"/>
      <c r="D106" s="2" t="n"/>
      <c r="E106" s="2" t="n"/>
      <c r="F106" s="2" t="n"/>
    </row>
    <row r="107" ht="15.75" customHeight="1" s="139">
      <c r="A107" s="2" t="n"/>
      <c r="B107" s="2" t="n"/>
      <c r="C107" s="2" t="n"/>
      <c r="D107" s="2" t="n"/>
      <c r="E107" s="2" t="n"/>
      <c r="F107" s="2" t="n"/>
    </row>
    <row r="108" ht="15.75" customHeight="1" s="139">
      <c r="A108" s="2" t="n"/>
      <c r="B108" s="2" t="n"/>
      <c r="C108" s="2" t="n"/>
      <c r="D108" s="2" t="n"/>
      <c r="E108" s="2" t="n"/>
      <c r="F108" s="2" t="n"/>
    </row>
    <row r="109" ht="15.75" customHeight="1" s="139">
      <c r="A109" s="2" t="n"/>
      <c r="B109" s="2" t="n"/>
      <c r="C109" s="2" t="n"/>
      <c r="D109" s="2" t="n"/>
      <c r="E109" s="2" t="n"/>
      <c r="F109" s="2" t="n"/>
    </row>
    <row r="110" ht="15.75" customHeight="1" s="139">
      <c r="A110" s="2" t="n"/>
      <c r="B110" s="2" t="n"/>
      <c r="C110" s="2" t="n"/>
      <c r="D110" s="2" t="n"/>
      <c r="E110" s="2" t="n"/>
      <c r="F110" s="2" t="n"/>
    </row>
    <row r="111" ht="15.75" customHeight="1" s="139">
      <c r="A111" s="2" t="n"/>
      <c r="B111" s="2" t="n"/>
      <c r="C111" s="2" t="n"/>
      <c r="D111" s="2" t="n"/>
      <c r="E111" s="2" t="n"/>
      <c r="F111" s="2" t="n"/>
    </row>
    <row r="112" ht="15.75" customHeight="1" s="139">
      <c r="A112" s="2" t="n"/>
      <c r="B112" s="2" t="n"/>
      <c r="C112" s="2" t="n"/>
      <c r="D112" s="2" t="n"/>
      <c r="E112" s="2" t="n"/>
      <c r="F112" s="2" t="n"/>
    </row>
    <row r="113" ht="15.75" customHeight="1" s="139">
      <c r="A113" s="2" t="n"/>
      <c r="B113" s="2" t="n"/>
      <c r="C113" s="2" t="n"/>
      <c r="D113" s="2" t="n"/>
      <c r="E113" s="2" t="n"/>
      <c r="F113" s="2" t="n"/>
    </row>
    <row r="114" ht="15.75" customHeight="1" s="139">
      <c r="A114" s="2" t="n"/>
      <c r="B114" s="2" t="n"/>
      <c r="C114" s="2" t="n"/>
      <c r="D114" s="2" t="n"/>
      <c r="E114" s="2" t="n"/>
      <c r="F114" s="2" t="n"/>
    </row>
    <row r="115" ht="15.75" customHeight="1" s="139">
      <c r="A115" s="2" t="n"/>
      <c r="B115" s="2" t="n"/>
      <c r="C115" s="2" t="n"/>
      <c r="D115" s="2" t="n"/>
      <c r="E115" s="2" t="n"/>
      <c r="F115" s="2" t="n"/>
    </row>
    <row r="116" ht="15.75" customHeight="1" s="139">
      <c r="A116" s="2" t="n"/>
      <c r="B116" s="2" t="n"/>
      <c r="C116" s="2" t="n"/>
      <c r="D116" s="2" t="n"/>
      <c r="E116" s="2" t="n"/>
      <c r="F116" s="2" t="n"/>
    </row>
    <row r="117" ht="15.75" customHeight="1" s="139">
      <c r="A117" s="2" t="n"/>
      <c r="B117" s="2" t="n"/>
      <c r="C117" s="2" t="n"/>
      <c r="D117" s="2" t="n"/>
      <c r="E117" s="2" t="n"/>
      <c r="F117" s="2" t="n"/>
    </row>
    <row r="118" ht="15.75" customHeight="1" s="139">
      <c r="A118" s="2" t="n"/>
      <c r="B118" s="2" t="n"/>
      <c r="C118" s="2" t="n"/>
      <c r="D118" s="2" t="n"/>
      <c r="E118" s="2" t="n"/>
      <c r="F118" s="2" t="n"/>
    </row>
    <row r="119" ht="15.75" customHeight="1" s="139">
      <c r="A119" s="2" t="n"/>
      <c r="B119" s="2" t="n"/>
      <c r="C119" s="2" t="n"/>
      <c r="D119" s="2" t="n"/>
      <c r="E119" s="2" t="n"/>
      <c r="F119" s="2" t="n"/>
    </row>
    <row r="120" ht="15.75" customHeight="1" s="139">
      <c r="A120" s="2" t="n"/>
      <c r="B120" s="2" t="n"/>
      <c r="C120" s="2" t="n"/>
      <c r="D120" s="2" t="n"/>
      <c r="E120" s="2" t="n"/>
      <c r="F120" s="2" t="n"/>
    </row>
    <row r="121" ht="15.75" customHeight="1" s="139">
      <c r="A121" s="2" t="n"/>
      <c r="B121" s="2" t="n"/>
      <c r="C121" s="2" t="n"/>
      <c r="D121" s="2" t="n"/>
      <c r="E121" s="2" t="n"/>
      <c r="F121" s="2" t="n"/>
    </row>
    <row r="122" ht="15.75" customHeight="1" s="139">
      <c r="A122" s="2" t="n"/>
      <c r="B122" s="2" t="n"/>
      <c r="C122" s="2" t="n"/>
      <c r="D122" s="2" t="n"/>
      <c r="E122" s="2" t="n"/>
      <c r="F122" s="2" t="n"/>
    </row>
    <row r="123" ht="15.75" customHeight="1" s="139">
      <c r="A123" s="2" t="n"/>
      <c r="B123" s="2" t="n"/>
      <c r="C123" s="2" t="n"/>
      <c r="D123" s="2" t="n"/>
      <c r="E123" s="2" t="n"/>
      <c r="F123" s="2" t="n"/>
    </row>
    <row r="124" ht="15.75" customHeight="1" s="139">
      <c r="A124" s="2" t="n"/>
      <c r="B124" s="2" t="n"/>
      <c r="C124" s="2" t="n"/>
      <c r="D124" s="2" t="n"/>
      <c r="E124" s="2" t="n"/>
      <c r="F124" s="2" t="n"/>
    </row>
    <row r="125" ht="15.75" customHeight="1" s="139">
      <c r="A125" s="2" t="n"/>
      <c r="B125" s="2" t="n"/>
      <c r="C125" s="2" t="n"/>
      <c r="D125" s="2" t="n"/>
      <c r="E125" s="2" t="n"/>
      <c r="F125" s="2" t="n"/>
    </row>
    <row r="126" ht="15.75" customHeight="1" s="139">
      <c r="A126" s="2" t="n"/>
      <c r="B126" s="2" t="n"/>
      <c r="C126" s="2" t="n"/>
      <c r="D126" s="2" t="n"/>
      <c r="E126" s="2" t="n"/>
      <c r="F126" s="2" t="n"/>
    </row>
    <row r="127" ht="15.75" customHeight="1" s="139">
      <c r="A127" s="2" t="n"/>
      <c r="B127" s="2" t="n"/>
      <c r="C127" s="2" t="n"/>
      <c r="D127" s="2" t="n"/>
      <c r="E127" s="2" t="n"/>
      <c r="F127" s="2" t="n"/>
    </row>
    <row r="128" ht="15.75" customHeight="1" s="139">
      <c r="A128" s="2" t="n"/>
      <c r="B128" s="2" t="n"/>
      <c r="C128" s="2" t="n"/>
      <c r="D128" s="2" t="n"/>
      <c r="E128" s="2" t="n"/>
      <c r="F128" s="2" t="n"/>
    </row>
    <row r="129" ht="15.75" customHeight="1" s="139">
      <c r="A129" s="2" t="n"/>
      <c r="B129" s="2" t="n"/>
      <c r="C129" s="2" t="n"/>
      <c r="D129" s="2" t="n"/>
      <c r="E129" s="2" t="n"/>
      <c r="F129" s="2" t="n"/>
    </row>
    <row r="130" ht="15.75" customHeight="1" s="139">
      <c r="A130" s="2" t="n"/>
      <c r="B130" s="2" t="n"/>
      <c r="C130" s="2" t="n"/>
      <c r="D130" s="2" t="n"/>
      <c r="E130" s="2" t="n"/>
      <c r="F130" s="2" t="n"/>
    </row>
    <row r="131" ht="15.75" customHeight="1" s="139">
      <c r="A131" s="2" t="n"/>
      <c r="B131" s="2" t="n"/>
      <c r="C131" s="2" t="n"/>
      <c r="D131" s="2" t="n"/>
      <c r="E131" s="2" t="n"/>
      <c r="F131" s="2" t="n"/>
    </row>
    <row r="132" ht="15.75" customHeight="1" s="139">
      <c r="A132" s="2" t="n"/>
      <c r="B132" s="2" t="n"/>
      <c r="C132" s="2" t="n"/>
      <c r="D132" s="2" t="n"/>
      <c r="E132" s="2" t="n"/>
      <c r="F132" s="2" t="n"/>
    </row>
    <row r="133" ht="15.75" customHeight="1" s="139">
      <c r="A133" s="2" t="n"/>
      <c r="B133" s="2" t="n"/>
      <c r="C133" s="2" t="n"/>
      <c r="D133" s="2" t="n"/>
      <c r="E133" s="2" t="n"/>
      <c r="F133" s="2" t="n"/>
    </row>
    <row r="134" ht="15.75" customHeight="1" s="139">
      <c r="A134" s="2" t="n"/>
      <c r="B134" s="2" t="n"/>
      <c r="C134" s="2" t="n"/>
      <c r="D134" s="2" t="n"/>
      <c r="E134" s="2" t="n"/>
      <c r="F134" s="2" t="n"/>
    </row>
    <row r="135" ht="15.75" customHeight="1" s="139">
      <c r="A135" s="2" t="n"/>
      <c r="B135" s="2" t="n"/>
      <c r="C135" s="2" t="n"/>
      <c r="D135" s="2" t="n"/>
      <c r="E135" s="2" t="n"/>
      <c r="F135" s="2" t="n"/>
    </row>
    <row r="136" ht="15.75" customHeight="1" s="139">
      <c r="A136" s="2" t="n"/>
      <c r="B136" s="2" t="n"/>
      <c r="C136" s="2" t="n"/>
      <c r="D136" s="2" t="n"/>
      <c r="E136" s="2" t="n"/>
      <c r="F136" s="2" t="n"/>
    </row>
    <row r="137" ht="15.75" customHeight="1" s="139">
      <c r="A137" s="2" t="n"/>
      <c r="B137" s="2" t="n"/>
      <c r="C137" s="2" t="n"/>
      <c r="D137" s="2" t="n"/>
      <c r="E137" s="2" t="n"/>
      <c r="F137" s="2" t="n"/>
    </row>
    <row r="138" ht="15.75" customHeight="1" s="139">
      <c r="A138" s="2" t="n"/>
      <c r="B138" s="2" t="n"/>
      <c r="C138" s="2" t="n"/>
      <c r="D138" s="2" t="n"/>
      <c r="E138" s="2" t="n"/>
      <c r="F138" s="2" t="n"/>
    </row>
    <row r="139" ht="15.75" customHeight="1" s="139">
      <c r="A139" s="2" t="n"/>
      <c r="B139" s="2" t="n"/>
      <c r="C139" s="2" t="n"/>
      <c r="D139" s="2" t="n"/>
      <c r="E139" s="2" t="n"/>
      <c r="F139" s="2" t="n"/>
    </row>
    <row r="140" ht="15.75" customHeight="1" s="139">
      <c r="A140" s="2" t="n"/>
      <c r="B140" s="2" t="n"/>
      <c r="C140" s="2" t="n"/>
      <c r="D140" s="2" t="n"/>
      <c r="E140" s="2" t="n"/>
      <c r="F140" s="2" t="n"/>
    </row>
    <row r="141" ht="15.75" customHeight="1" s="139">
      <c r="A141" s="2" t="n"/>
      <c r="B141" s="2" t="n"/>
      <c r="C141" s="2" t="n"/>
      <c r="D141" s="2" t="n"/>
      <c r="E141" s="2" t="n"/>
      <c r="F141" s="2" t="n"/>
    </row>
    <row r="142" ht="15.75" customHeight="1" s="139">
      <c r="A142" s="2" t="n"/>
      <c r="B142" s="2" t="n"/>
      <c r="C142" s="2" t="n"/>
      <c r="D142" s="2" t="n"/>
      <c r="E142" s="2" t="n"/>
      <c r="F142" s="2" t="n"/>
    </row>
    <row r="143" ht="15.75" customHeight="1" s="139">
      <c r="A143" s="2" t="n"/>
      <c r="B143" s="2" t="n"/>
      <c r="C143" s="2" t="n"/>
      <c r="D143" s="2" t="n"/>
      <c r="E143" s="2" t="n"/>
      <c r="F143" s="2" t="n"/>
    </row>
    <row r="144" ht="15.75" customHeight="1" s="139">
      <c r="A144" s="2" t="n"/>
      <c r="B144" s="2" t="n"/>
      <c r="C144" s="2" t="n"/>
      <c r="D144" s="2" t="n"/>
      <c r="E144" s="2" t="n"/>
      <c r="F144" s="2" t="n"/>
    </row>
    <row r="145" ht="15.75" customHeight="1" s="139">
      <c r="A145" s="2" t="n"/>
      <c r="B145" s="2" t="n"/>
      <c r="C145" s="2" t="n"/>
      <c r="D145" s="2" t="n"/>
      <c r="E145" s="2" t="n"/>
      <c r="F145" s="2" t="n"/>
    </row>
    <row r="146" ht="15.75" customHeight="1" s="139">
      <c r="A146" s="2" t="n"/>
      <c r="B146" s="2" t="n"/>
      <c r="C146" s="2" t="n"/>
      <c r="D146" s="2" t="n"/>
      <c r="E146" s="2" t="n"/>
      <c r="F146" s="2" t="n"/>
    </row>
    <row r="147" ht="15.75" customHeight="1" s="139">
      <c r="A147" s="2" t="n"/>
      <c r="B147" s="2" t="n"/>
      <c r="C147" s="2" t="n"/>
      <c r="D147" s="2" t="n"/>
      <c r="E147" s="2" t="n"/>
      <c r="F147" s="2" t="n"/>
    </row>
    <row r="148" ht="15.75" customHeight="1" s="139">
      <c r="A148" s="2" t="n"/>
      <c r="B148" s="2" t="n"/>
      <c r="C148" s="2" t="n"/>
      <c r="D148" s="2" t="n"/>
      <c r="E148" s="2" t="n"/>
      <c r="F148" s="2" t="n"/>
    </row>
    <row r="149" ht="15.75" customHeight="1" s="139">
      <c r="A149" s="2" t="n"/>
      <c r="B149" s="2" t="n"/>
      <c r="C149" s="2" t="n"/>
      <c r="D149" s="2" t="n"/>
      <c r="E149" s="2" t="n"/>
      <c r="F149" s="2" t="n"/>
    </row>
    <row r="150" ht="15.75" customHeight="1" s="139">
      <c r="A150" s="2" t="n"/>
      <c r="B150" s="2" t="n"/>
      <c r="C150" s="2" t="n"/>
      <c r="D150" s="2" t="n"/>
      <c r="E150" s="2" t="n"/>
      <c r="F150" s="2" t="n"/>
    </row>
    <row r="151" ht="15.75" customHeight="1" s="139">
      <c r="A151" s="2" t="n"/>
      <c r="B151" s="2" t="n"/>
      <c r="C151" s="2" t="n"/>
      <c r="D151" s="2" t="n"/>
      <c r="E151" s="2" t="n"/>
      <c r="F151" s="2" t="n"/>
    </row>
    <row r="152" ht="15.75" customHeight="1" s="139">
      <c r="A152" s="2" t="n"/>
      <c r="B152" s="2" t="n"/>
      <c r="C152" s="2" t="n"/>
      <c r="D152" s="2" t="n"/>
      <c r="E152" s="2" t="n"/>
      <c r="F152" s="2" t="n"/>
    </row>
    <row r="153" ht="15.75" customHeight="1" s="139">
      <c r="A153" s="2" t="n"/>
      <c r="B153" s="2" t="n"/>
      <c r="C153" s="2" t="n"/>
      <c r="D153" s="2" t="n"/>
      <c r="E153" s="2" t="n"/>
      <c r="F153" s="2" t="n"/>
    </row>
    <row r="154" ht="15.75" customHeight="1" s="139">
      <c r="A154" s="2" t="n"/>
      <c r="B154" s="2" t="n"/>
      <c r="C154" s="2" t="n"/>
      <c r="D154" s="2" t="n"/>
      <c r="E154" s="2" t="n"/>
      <c r="F154" s="2" t="n"/>
    </row>
    <row r="155" ht="15.75" customHeight="1" s="139">
      <c r="A155" s="2" t="n"/>
      <c r="B155" s="2" t="n"/>
      <c r="C155" s="2" t="n"/>
      <c r="D155" s="2" t="n"/>
      <c r="E155" s="2" t="n"/>
      <c r="F155" s="2" t="n"/>
    </row>
    <row r="156" ht="15.75" customHeight="1" s="139">
      <c r="A156" s="2" t="n"/>
      <c r="B156" s="2" t="n"/>
      <c r="C156" s="2" t="n"/>
      <c r="D156" s="2" t="n"/>
      <c r="E156" s="2" t="n"/>
      <c r="F156" s="2" t="n"/>
    </row>
    <row r="157" ht="15.75" customHeight="1" s="139">
      <c r="A157" s="2" t="n"/>
      <c r="B157" s="2" t="n"/>
      <c r="C157" s="2" t="n"/>
      <c r="D157" s="2" t="n"/>
      <c r="E157" s="2" t="n"/>
      <c r="F157" s="2" t="n"/>
    </row>
    <row r="158" ht="15.75" customHeight="1" s="139">
      <c r="A158" s="2" t="n"/>
      <c r="B158" s="2" t="n"/>
      <c r="C158" s="2" t="n"/>
      <c r="D158" s="2" t="n"/>
      <c r="E158" s="2" t="n"/>
      <c r="F158" s="2" t="n"/>
    </row>
    <row r="159" ht="15.75" customHeight="1" s="139">
      <c r="A159" s="2" t="n"/>
      <c r="B159" s="2" t="n"/>
      <c r="C159" s="2" t="n"/>
      <c r="D159" s="2" t="n"/>
      <c r="E159" s="2" t="n"/>
      <c r="F159" s="2" t="n"/>
    </row>
    <row r="160" ht="15.75" customHeight="1" s="139">
      <c r="A160" s="2" t="n"/>
      <c r="B160" s="2" t="n"/>
      <c r="C160" s="2" t="n"/>
      <c r="D160" s="2" t="n"/>
      <c r="E160" s="2" t="n"/>
      <c r="F160" s="2" t="n"/>
    </row>
    <row r="161" ht="15.75" customHeight="1" s="139">
      <c r="A161" s="2" t="n"/>
      <c r="B161" s="2" t="n"/>
      <c r="C161" s="2" t="n"/>
      <c r="D161" s="2" t="n"/>
      <c r="E161" s="2" t="n"/>
      <c r="F161" s="2" t="n"/>
    </row>
    <row r="162" ht="15.75" customHeight="1" s="139">
      <c r="A162" s="2" t="n"/>
      <c r="B162" s="2" t="n"/>
      <c r="C162" s="2" t="n"/>
      <c r="D162" s="2" t="n"/>
      <c r="E162" s="2" t="n"/>
      <c r="F162" s="2" t="n"/>
    </row>
    <row r="163" ht="15.75" customHeight="1" s="139">
      <c r="A163" s="2" t="n"/>
      <c r="B163" s="2" t="n"/>
      <c r="C163" s="2" t="n"/>
      <c r="D163" s="2" t="n"/>
      <c r="E163" s="2" t="n"/>
      <c r="F163" s="2" t="n"/>
    </row>
    <row r="164" ht="15.75" customHeight="1" s="139">
      <c r="A164" s="2" t="n"/>
      <c r="B164" s="2" t="n"/>
      <c r="C164" s="2" t="n"/>
      <c r="D164" s="2" t="n"/>
      <c r="E164" s="2" t="n"/>
      <c r="F164" s="2" t="n"/>
    </row>
    <row r="165" ht="15.75" customHeight="1" s="139">
      <c r="A165" s="2" t="n"/>
      <c r="B165" s="2" t="n"/>
      <c r="C165" s="2" t="n"/>
      <c r="D165" s="2" t="n"/>
      <c r="E165" s="2" t="n"/>
      <c r="F165" s="2" t="n"/>
    </row>
    <row r="166" ht="15.75" customHeight="1" s="139">
      <c r="A166" s="2" t="n"/>
      <c r="B166" s="2" t="n"/>
      <c r="C166" s="2" t="n"/>
      <c r="D166" s="2" t="n"/>
      <c r="E166" s="2" t="n"/>
      <c r="F166" s="2" t="n"/>
    </row>
    <row r="167" ht="15.75" customHeight="1" s="139">
      <c r="A167" s="2" t="n"/>
      <c r="B167" s="2" t="n"/>
      <c r="C167" s="2" t="n"/>
      <c r="D167" s="2" t="n"/>
      <c r="E167" s="2" t="n"/>
      <c r="F167" s="2" t="n"/>
    </row>
    <row r="168" ht="15.75" customHeight="1" s="139">
      <c r="A168" s="2" t="n"/>
      <c r="B168" s="2" t="n"/>
      <c r="C168" s="2" t="n"/>
      <c r="D168" s="2" t="n"/>
      <c r="E168" s="2" t="n"/>
      <c r="F168" s="2" t="n"/>
    </row>
    <row r="169" ht="15.75" customHeight="1" s="139">
      <c r="A169" s="2" t="n"/>
      <c r="B169" s="2" t="n"/>
      <c r="C169" s="2" t="n"/>
      <c r="D169" s="2" t="n"/>
      <c r="E169" s="2" t="n"/>
      <c r="F169" s="2" t="n"/>
    </row>
    <row r="170" ht="15.75" customHeight="1" s="139">
      <c r="A170" s="2" t="n"/>
      <c r="B170" s="2" t="n"/>
      <c r="C170" s="2" t="n"/>
      <c r="D170" s="2" t="n"/>
      <c r="E170" s="2" t="n"/>
      <c r="F170" s="2" t="n"/>
    </row>
    <row r="171" ht="15.75" customHeight="1" s="139">
      <c r="A171" s="2" t="n"/>
      <c r="B171" s="2" t="n"/>
      <c r="C171" s="2" t="n"/>
      <c r="D171" s="2" t="n"/>
      <c r="E171" s="2" t="n"/>
      <c r="F171" s="2" t="n"/>
    </row>
    <row r="172" ht="15.75" customHeight="1" s="139">
      <c r="A172" s="2" t="n"/>
      <c r="B172" s="2" t="n"/>
      <c r="C172" s="2" t="n"/>
      <c r="D172" s="2" t="n"/>
      <c r="E172" s="2" t="n"/>
      <c r="F172" s="2" t="n"/>
    </row>
    <row r="173" ht="15.75" customHeight="1" s="139">
      <c r="A173" s="2" t="n"/>
      <c r="B173" s="2" t="n"/>
      <c r="C173" s="2" t="n"/>
      <c r="D173" s="2" t="n"/>
      <c r="E173" s="2" t="n"/>
      <c r="F173" s="2" t="n"/>
    </row>
    <row r="174" ht="15.75" customHeight="1" s="139">
      <c r="A174" s="2" t="n"/>
      <c r="B174" s="2" t="n"/>
      <c r="C174" s="2" t="n"/>
      <c r="D174" s="2" t="n"/>
      <c r="E174" s="2" t="n"/>
      <c r="F174" s="2" t="n"/>
    </row>
    <row r="175" ht="15.75" customHeight="1" s="139">
      <c r="A175" s="2" t="n"/>
      <c r="B175" s="2" t="n"/>
      <c r="C175" s="2" t="n"/>
      <c r="D175" s="2" t="n"/>
      <c r="E175" s="2" t="n"/>
      <c r="F175" s="2" t="n"/>
    </row>
    <row r="176" ht="15.75" customHeight="1" s="139">
      <c r="A176" s="2" t="n"/>
      <c r="B176" s="2" t="n"/>
      <c r="C176" s="2" t="n"/>
      <c r="D176" s="2" t="n"/>
      <c r="E176" s="2" t="n"/>
      <c r="F176" s="2" t="n"/>
    </row>
    <row r="177" ht="15.75" customHeight="1" s="139">
      <c r="A177" s="2" t="n"/>
      <c r="B177" s="2" t="n"/>
      <c r="C177" s="2" t="n"/>
      <c r="D177" s="2" t="n"/>
      <c r="E177" s="2" t="n"/>
      <c r="F177" s="2" t="n"/>
    </row>
    <row r="178" ht="15.75" customHeight="1" s="139">
      <c r="A178" s="2" t="n"/>
      <c r="B178" s="2" t="n"/>
      <c r="C178" s="2" t="n"/>
      <c r="D178" s="2" t="n"/>
      <c r="E178" s="2" t="n"/>
      <c r="F178" s="2" t="n"/>
    </row>
    <row r="179" ht="15.75" customHeight="1" s="139">
      <c r="A179" s="2" t="n"/>
      <c r="B179" s="2" t="n"/>
      <c r="C179" s="2" t="n"/>
      <c r="D179" s="2" t="n"/>
      <c r="E179" s="2" t="n"/>
      <c r="F179" s="2" t="n"/>
    </row>
    <row r="180" ht="15.75" customHeight="1" s="139">
      <c r="A180" s="2" t="n"/>
      <c r="B180" s="2" t="n"/>
      <c r="C180" s="2" t="n"/>
      <c r="D180" s="2" t="n"/>
      <c r="E180" s="2" t="n"/>
      <c r="F180" s="2" t="n"/>
    </row>
    <row r="181" ht="15.75" customHeight="1" s="139">
      <c r="A181" s="2" t="n"/>
      <c r="B181" s="2" t="n"/>
      <c r="C181" s="2" t="n"/>
      <c r="D181" s="2" t="n"/>
      <c r="E181" s="2" t="n"/>
      <c r="F181" s="2" t="n"/>
    </row>
    <row r="182" ht="15.75" customHeight="1" s="139">
      <c r="A182" s="2" t="n"/>
      <c r="B182" s="2" t="n"/>
      <c r="C182" s="2" t="n"/>
      <c r="D182" s="2" t="n"/>
      <c r="E182" s="2" t="n"/>
      <c r="F182" s="2" t="n"/>
    </row>
    <row r="183" ht="15.75" customHeight="1" s="139">
      <c r="A183" s="2" t="n"/>
      <c r="B183" s="2" t="n"/>
      <c r="C183" s="2" t="n"/>
      <c r="D183" s="2" t="n"/>
      <c r="E183" s="2" t="n"/>
      <c r="F183" s="2" t="n"/>
    </row>
    <row r="184" ht="15.75" customHeight="1" s="139">
      <c r="A184" s="2" t="n"/>
      <c r="B184" s="2" t="n"/>
      <c r="C184" s="2" t="n"/>
      <c r="D184" s="2" t="n"/>
      <c r="E184" s="2" t="n"/>
      <c r="F184" s="2" t="n"/>
    </row>
    <row r="185" ht="15.75" customHeight="1" s="139">
      <c r="A185" s="2" t="n"/>
      <c r="B185" s="2" t="n"/>
      <c r="C185" s="2" t="n"/>
      <c r="D185" s="2" t="n"/>
      <c r="E185" s="2" t="n"/>
      <c r="F185" s="2" t="n"/>
    </row>
    <row r="186" ht="15.75" customHeight="1" s="139">
      <c r="A186" s="2" t="n"/>
      <c r="B186" s="2" t="n"/>
      <c r="C186" s="2" t="n"/>
      <c r="D186" s="2" t="n"/>
      <c r="E186" s="2" t="n"/>
      <c r="F186" s="2" t="n"/>
    </row>
    <row r="187" ht="15.75" customHeight="1" s="139">
      <c r="A187" s="2" t="n"/>
      <c r="B187" s="2" t="n"/>
      <c r="C187" s="2" t="n"/>
      <c r="D187" s="2" t="n"/>
      <c r="E187" s="2" t="n"/>
      <c r="F187" s="2" t="n"/>
    </row>
    <row r="188" ht="15.75" customHeight="1" s="139">
      <c r="A188" s="2" t="n"/>
      <c r="B188" s="2" t="n"/>
      <c r="C188" s="2" t="n"/>
      <c r="D188" s="2" t="n"/>
      <c r="E188" s="2" t="n"/>
      <c r="F188" s="2" t="n"/>
    </row>
    <row r="189" ht="15.75" customHeight="1" s="139">
      <c r="A189" s="2" t="n"/>
      <c r="B189" s="2" t="n"/>
      <c r="C189" s="2" t="n"/>
      <c r="D189" s="2" t="n"/>
      <c r="E189" s="2" t="n"/>
      <c r="F189" s="2" t="n"/>
    </row>
    <row r="190" ht="15.75" customHeight="1" s="139">
      <c r="A190" s="2" t="n"/>
      <c r="B190" s="2" t="n"/>
      <c r="C190" s="2" t="n"/>
      <c r="D190" s="2" t="n"/>
      <c r="E190" s="2" t="n"/>
      <c r="F190" s="2" t="n"/>
    </row>
    <row r="191" ht="15.75" customHeight="1" s="139">
      <c r="A191" s="2" t="n"/>
      <c r="B191" s="2" t="n"/>
      <c r="C191" s="2" t="n"/>
      <c r="D191" s="2" t="n"/>
      <c r="E191" s="2" t="n"/>
      <c r="F191" s="2" t="n"/>
    </row>
    <row r="192" ht="15.75" customHeight="1" s="139">
      <c r="A192" s="2" t="n"/>
      <c r="B192" s="2" t="n"/>
      <c r="C192" s="2" t="n"/>
      <c r="D192" s="2" t="n"/>
      <c r="E192" s="2" t="n"/>
      <c r="F192" s="2" t="n"/>
    </row>
    <row r="193" ht="15.75" customHeight="1" s="139">
      <c r="A193" s="2" t="n"/>
      <c r="B193" s="2" t="n"/>
      <c r="C193" s="2" t="n"/>
      <c r="D193" s="2" t="n"/>
      <c r="E193" s="2" t="n"/>
      <c r="F193" s="2" t="n"/>
    </row>
    <row r="194" ht="15.75" customHeight="1" s="139">
      <c r="A194" s="2" t="n"/>
      <c r="B194" s="2" t="n"/>
      <c r="C194" s="2" t="n"/>
      <c r="D194" s="2" t="n"/>
      <c r="E194" s="2" t="n"/>
      <c r="F194" s="2" t="n"/>
    </row>
    <row r="195" ht="15.75" customHeight="1" s="139">
      <c r="A195" s="2" t="n"/>
      <c r="B195" s="2" t="n"/>
      <c r="C195" s="2" t="n"/>
      <c r="D195" s="2" t="n"/>
      <c r="E195" s="2" t="n"/>
      <c r="F195" s="2" t="n"/>
    </row>
    <row r="196" ht="15.75" customHeight="1" s="139">
      <c r="A196" s="2" t="n"/>
      <c r="B196" s="2" t="n"/>
      <c r="C196" s="2" t="n"/>
      <c r="D196" s="2" t="n"/>
      <c r="E196" s="2" t="n"/>
      <c r="F196" s="2" t="n"/>
    </row>
    <row r="197" ht="15.75" customHeight="1" s="139">
      <c r="A197" s="2" t="n"/>
      <c r="B197" s="2" t="n"/>
      <c r="C197" s="2" t="n"/>
      <c r="D197" s="2" t="n"/>
      <c r="E197" s="2" t="n"/>
      <c r="F197" s="2" t="n"/>
    </row>
    <row r="198" ht="15.75" customHeight="1" s="139">
      <c r="A198" s="2" t="n"/>
      <c r="B198" s="2" t="n"/>
      <c r="C198" s="2" t="n"/>
      <c r="D198" s="2" t="n"/>
      <c r="E198" s="2" t="n"/>
      <c r="F198" s="2" t="n"/>
    </row>
    <row r="199" ht="15.75" customHeight="1" s="139">
      <c r="A199" s="2" t="n"/>
      <c r="B199" s="2" t="n"/>
      <c r="C199" s="2" t="n"/>
      <c r="D199" s="2" t="n"/>
      <c r="E199" s="2" t="n"/>
      <c r="F199" s="2" t="n"/>
    </row>
    <row r="200" ht="15.75" customHeight="1" s="139">
      <c r="A200" s="2" t="n"/>
      <c r="B200" s="2" t="n"/>
      <c r="C200" s="2" t="n"/>
      <c r="D200" s="2" t="n"/>
      <c r="E200" s="2" t="n"/>
      <c r="F200" s="2" t="n"/>
    </row>
    <row r="201" ht="15.75" customHeight="1" s="139">
      <c r="A201" s="2" t="n"/>
      <c r="B201" s="2" t="n"/>
      <c r="C201" s="2" t="n"/>
      <c r="D201" s="2" t="n"/>
      <c r="E201" s="2" t="n"/>
      <c r="F201" s="2" t="n"/>
    </row>
    <row r="202" ht="15.75" customHeight="1" s="139">
      <c r="A202" s="2" t="n"/>
      <c r="B202" s="2" t="n"/>
      <c r="C202" s="2" t="n"/>
      <c r="D202" s="2" t="n"/>
      <c r="E202" s="2" t="n"/>
      <c r="F202" s="2" t="n"/>
    </row>
    <row r="203" ht="15.75" customHeight="1" s="139">
      <c r="A203" s="2" t="n"/>
      <c r="B203" s="2" t="n"/>
      <c r="C203" s="2" t="n"/>
      <c r="D203" s="2" t="n"/>
      <c r="E203" s="2" t="n"/>
      <c r="F203" s="2" t="n"/>
    </row>
    <row r="204" ht="15.75" customHeight="1" s="139">
      <c r="A204" s="2" t="n"/>
      <c r="B204" s="2" t="n"/>
      <c r="C204" s="2" t="n"/>
      <c r="D204" s="2" t="n"/>
      <c r="E204" s="2" t="n"/>
      <c r="F204" s="2" t="n"/>
    </row>
    <row r="205" ht="15.75" customHeight="1" s="139">
      <c r="A205" s="2" t="n"/>
      <c r="B205" s="2" t="n"/>
      <c r="C205" s="2" t="n"/>
      <c r="D205" s="2" t="n"/>
      <c r="E205" s="2" t="n"/>
      <c r="F205" s="2" t="n"/>
    </row>
    <row r="206" ht="15.75" customHeight="1" s="139">
      <c r="A206" s="2" t="n"/>
      <c r="B206" s="2" t="n"/>
      <c r="C206" s="2" t="n"/>
      <c r="D206" s="2" t="n"/>
      <c r="E206" s="2" t="n"/>
      <c r="F206" s="2" t="n"/>
    </row>
    <row r="207" ht="15.75" customHeight="1" s="139">
      <c r="A207" s="2" t="n"/>
      <c r="B207" s="2" t="n"/>
      <c r="C207" s="2" t="n"/>
      <c r="D207" s="2" t="n"/>
      <c r="E207" s="2" t="n"/>
      <c r="F207" s="2" t="n"/>
    </row>
    <row r="208" ht="15.75" customHeight="1" s="139">
      <c r="A208" s="2" t="n"/>
      <c r="B208" s="2" t="n"/>
      <c r="C208" s="2" t="n"/>
      <c r="D208" s="2" t="n"/>
      <c r="E208" s="2" t="n"/>
      <c r="F208" s="2" t="n"/>
    </row>
    <row r="209" ht="15.75" customHeight="1" s="139">
      <c r="A209" s="2" t="n"/>
      <c r="B209" s="2" t="n"/>
      <c r="C209" s="2" t="n"/>
      <c r="D209" s="2" t="n"/>
      <c r="E209" s="2" t="n"/>
      <c r="F209" s="2" t="n"/>
    </row>
    <row r="210" ht="15.75" customHeight="1" s="139">
      <c r="A210" s="2" t="n"/>
      <c r="B210" s="2" t="n"/>
      <c r="C210" s="2" t="n"/>
      <c r="D210" s="2" t="n"/>
      <c r="E210" s="2" t="n"/>
      <c r="F210" s="2" t="n"/>
    </row>
    <row r="211" ht="15.75" customHeight="1" s="139">
      <c r="A211" s="2" t="n"/>
      <c r="B211" s="2" t="n"/>
      <c r="C211" s="2" t="n"/>
      <c r="D211" s="2" t="n"/>
      <c r="E211" s="2" t="n"/>
      <c r="F211" s="2" t="n"/>
    </row>
    <row r="212" ht="15.75" customHeight="1" s="139">
      <c r="A212" s="2" t="n"/>
      <c r="B212" s="2" t="n"/>
      <c r="C212" s="2" t="n"/>
      <c r="D212" s="2" t="n"/>
      <c r="E212" s="2" t="n"/>
      <c r="F212" s="2" t="n"/>
    </row>
    <row r="213" ht="15.75" customHeight="1" s="139">
      <c r="A213" s="2" t="n"/>
      <c r="B213" s="2" t="n"/>
      <c r="C213" s="2" t="n"/>
      <c r="D213" s="2" t="n"/>
      <c r="E213" s="2" t="n"/>
      <c r="F213" s="2" t="n"/>
    </row>
    <row r="214" ht="15.75" customHeight="1" s="139">
      <c r="A214" s="2" t="n"/>
      <c r="B214" s="2" t="n"/>
      <c r="C214" s="2" t="n"/>
      <c r="D214" s="2" t="n"/>
      <c r="E214" s="2" t="n"/>
      <c r="F214" s="2" t="n"/>
    </row>
    <row r="215" ht="15.75" customHeight="1" s="139">
      <c r="A215" s="2" t="n"/>
      <c r="B215" s="2" t="n"/>
      <c r="C215" s="2" t="n"/>
      <c r="D215" s="2" t="n"/>
      <c r="E215" s="2" t="n"/>
      <c r="F215" s="2" t="n"/>
    </row>
    <row r="216" ht="15.75" customHeight="1" s="139">
      <c r="A216" s="2" t="n"/>
      <c r="B216" s="2" t="n"/>
      <c r="C216" s="2" t="n"/>
      <c r="D216" s="2" t="n"/>
      <c r="E216" s="2" t="n"/>
      <c r="F216" s="2" t="n"/>
    </row>
    <row r="217" ht="15.75" customHeight="1" s="139">
      <c r="A217" s="2" t="n"/>
      <c r="B217" s="2" t="n"/>
      <c r="C217" s="2" t="n"/>
      <c r="D217" s="2" t="n"/>
      <c r="E217" s="2" t="n"/>
      <c r="F217" s="2" t="n"/>
    </row>
    <row r="218" ht="15.75" customHeight="1" s="139">
      <c r="A218" s="2" t="n"/>
      <c r="B218" s="2" t="n"/>
      <c r="C218" s="2" t="n"/>
      <c r="D218" s="2" t="n"/>
      <c r="E218" s="2" t="n"/>
      <c r="F218" s="2" t="n"/>
    </row>
    <row r="219" ht="15.75" customHeight="1" s="139">
      <c r="A219" s="2" t="n"/>
      <c r="B219" s="2" t="n"/>
      <c r="C219" s="2" t="n"/>
      <c r="D219" s="2" t="n"/>
      <c r="E219" s="2" t="n"/>
      <c r="F219" s="2" t="n"/>
    </row>
    <row r="220" ht="15.75" customHeight="1" s="139">
      <c r="A220" s="2" t="n"/>
      <c r="B220" s="2" t="n"/>
      <c r="C220" s="2" t="n"/>
      <c r="D220" s="2" t="n"/>
      <c r="E220" s="2" t="n"/>
      <c r="F220" s="2" t="n"/>
    </row>
    <row r="221" ht="15.75" customHeight="1" s="139">
      <c r="A221" s="2" t="n"/>
      <c r="B221" s="2" t="n"/>
      <c r="C221" s="2" t="n"/>
      <c r="D221" s="2" t="n"/>
      <c r="E221" s="2" t="n"/>
      <c r="F221" s="2" t="n"/>
    </row>
    <row r="222" ht="15.75" customHeight="1" s="139">
      <c r="A222" s="2" t="n"/>
      <c r="B222" s="2" t="n"/>
      <c r="C222" s="2" t="n"/>
      <c r="D222" s="2" t="n"/>
      <c r="E222" s="2" t="n"/>
      <c r="F222" s="2" t="n"/>
    </row>
    <row r="223" ht="15.75" customHeight="1" s="139"/>
    <row r="224" ht="15.75" customHeight="1" s="139"/>
    <row r="225" ht="15.75" customHeight="1" s="139"/>
    <row r="226" ht="15.75" customHeight="1" s="139"/>
    <row r="227" ht="15.75" customHeight="1" s="139"/>
    <row r="228" ht="15.75" customHeight="1" s="139"/>
    <row r="229" ht="15.75" customHeight="1" s="139"/>
    <row r="230" ht="15.75" customHeight="1" s="139"/>
    <row r="231" ht="15.75" customHeight="1" s="139"/>
    <row r="232" ht="15.75" customHeight="1" s="139"/>
    <row r="233" ht="15.75" customHeight="1" s="139"/>
    <row r="234" ht="15.75" customHeight="1" s="139"/>
    <row r="235" ht="15.75" customHeight="1" s="139"/>
    <row r="236" ht="15.75" customHeight="1" s="139"/>
    <row r="237" ht="15.75" customHeight="1" s="139"/>
    <row r="238" ht="15.75" customHeight="1" s="139"/>
    <row r="239" ht="15.75" customHeight="1" s="139"/>
    <row r="240" ht="15.75" customHeight="1" s="139"/>
    <row r="241" ht="15.75" customHeight="1" s="139"/>
    <row r="242" ht="15.75" customHeight="1" s="139"/>
    <row r="243" ht="15.75" customHeight="1" s="139"/>
    <row r="244" ht="15.75" customHeight="1" s="139"/>
    <row r="245" ht="15.75" customHeight="1" s="139"/>
    <row r="246" ht="15.75" customHeight="1" s="139"/>
    <row r="247" ht="15.75" customHeight="1" s="139"/>
    <row r="248" ht="15.75" customHeight="1" s="139"/>
    <row r="249" ht="15.75" customHeight="1" s="139"/>
    <row r="250" ht="15.75" customHeight="1" s="139"/>
    <row r="251" ht="15.75" customHeight="1" s="139"/>
    <row r="252" ht="15.75" customHeight="1" s="139"/>
    <row r="253" ht="15.75" customHeight="1" s="139"/>
    <row r="254" ht="15.75" customHeight="1" s="139"/>
    <row r="255" ht="15.75" customHeight="1" s="139"/>
    <row r="256" ht="15.75" customHeight="1" s="139"/>
    <row r="257" ht="15.75" customHeight="1" s="139"/>
    <row r="258" ht="15.75" customHeight="1" s="139"/>
    <row r="259" ht="15.75" customHeight="1" s="139"/>
    <row r="260" ht="15.75" customHeight="1" s="139"/>
    <row r="261" ht="15.75" customHeight="1" s="139"/>
    <row r="262" ht="15.75" customHeight="1" s="139"/>
    <row r="263" ht="15.75" customHeight="1" s="139"/>
    <row r="264" ht="15.75" customHeight="1" s="139"/>
    <row r="265" ht="15.75" customHeight="1" s="139"/>
    <row r="266" ht="15.75" customHeight="1" s="139"/>
    <row r="267" ht="15.75" customHeight="1" s="139"/>
    <row r="268" ht="15.75" customHeight="1" s="139"/>
    <row r="269" ht="15.75" customHeight="1" s="139"/>
    <row r="270" ht="15.75" customHeight="1" s="139"/>
    <row r="271" ht="15.75" customHeight="1" s="139"/>
    <row r="272" ht="15.75" customHeight="1" s="139"/>
    <row r="273" ht="15.75" customHeight="1" s="139"/>
    <row r="274" ht="15.75" customHeight="1" s="139"/>
    <row r="275" ht="15.75" customHeight="1" s="139"/>
    <row r="276" ht="15.75" customHeight="1" s="139"/>
    <row r="277" ht="15.75" customHeight="1" s="139"/>
    <row r="278" ht="15.75" customHeight="1" s="139"/>
    <row r="279" ht="15.75" customHeight="1" s="139"/>
    <row r="280" ht="15.75" customHeight="1" s="139"/>
    <row r="281" ht="15.75" customHeight="1" s="139"/>
    <row r="282" ht="15.75" customHeight="1" s="139"/>
    <row r="283" ht="15.75" customHeight="1" s="139"/>
    <row r="284" ht="15.75" customHeight="1" s="139"/>
    <row r="285" ht="15.75" customHeight="1" s="139"/>
    <row r="286" ht="15.75" customHeight="1" s="139"/>
    <row r="287" ht="15.75" customHeight="1" s="139"/>
    <row r="288" ht="15.75" customHeight="1" s="139"/>
    <row r="289" ht="15.75" customHeight="1" s="139"/>
    <row r="290" ht="15.75" customHeight="1" s="139"/>
    <row r="291" ht="15.75" customHeight="1" s="139"/>
    <row r="292" ht="15.75" customHeight="1" s="139"/>
    <row r="293" ht="15.75" customHeight="1" s="139"/>
    <row r="294" ht="15.75" customHeight="1" s="139"/>
    <row r="295" ht="15.75" customHeight="1" s="139"/>
    <row r="296" ht="15.75" customHeight="1" s="139"/>
    <row r="297" ht="15.75" customHeight="1" s="139"/>
    <row r="298" ht="15.75" customHeight="1" s="139"/>
    <row r="299" ht="15.75" customHeight="1" s="139"/>
    <row r="300" ht="15.75" customHeight="1" s="139"/>
    <row r="301" ht="15.75" customHeight="1" s="139"/>
    <row r="302" ht="15.75" customHeight="1" s="139"/>
    <row r="303" ht="15.75" customHeight="1" s="139"/>
    <row r="304" ht="15.75" customHeight="1" s="139"/>
    <row r="305" ht="15.75" customHeight="1" s="139"/>
    <row r="306" ht="15.75" customHeight="1" s="139"/>
    <row r="307" ht="15.75" customHeight="1" s="139"/>
    <row r="308" ht="15.75" customHeight="1" s="139"/>
    <row r="309" ht="15.75" customHeight="1" s="139"/>
    <row r="310" ht="15.75" customHeight="1" s="139"/>
    <row r="311" ht="15.75" customHeight="1" s="139"/>
    <row r="312" ht="15.75" customHeight="1" s="139"/>
    <row r="313" ht="15.75" customHeight="1" s="139"/>
    <row r="314" ht="15.75" customHeight="1" s="139"/>
    <row r="315" ht="15.75" customHeight="1" s="139"/>
    <row r="316" ht="15.75" customHeight="1" s="139"/>
    <row r="317" ht="15.75" customHeight="1" s="139"/>
    <row r="318" ht="15.75" customHeight="1" s="139"/>
    <row r="319" ht="15.75" customHeight="1" s="139"/>
    <row r="320" ht="15.75" customHeight="1" s="139"/>
    <row r="321" ht="15.75" customHeight="1" s="139"/>
    <row r="322" ht="15.75" customHeight="1" s="139"/>
    <row r="323" ht="15.75" customHeight="1" s="139"/>
    <row r="324" ht="15.75" customHeight="1" s="139"/>
    <row r="325" ht="15.75" customHeight="1" s="139"/>
    <row r="326" ht="15.75" customHeight="1" s="139"/>
    <row r="327" ht="15.75" customHeight="1" s="139"/>
    <row r="328" ht="15.75" customHeight="1" s="139"/>
    <row r="329" ht="15.75" customHeight="1" s="139"/>
    <row r="330" ht="15.75" customHeight="1" s="139"/>
    <row r="331" ht="15.75" customHeight="1" s="139"/>
    <row r="332" ht="15.75" customHeight="1" s="139"/>
    <row r="333" ht="15.75" customHeight="1" s="139"/>
    <row r="334" ht="15.75" customHeight="1" s="139"/>
    <row r="335" ht="15.75" customHeight="1" s="139"/>
    <row r="336" ht="15.75" customHeight="1" s="139"/>
    <row r="337" ht="15.75" customHeight="1" s="139"/>
    <row r="338" ht="15.75" customHeight="1" s="139"/>
    <row r="339" ht="15.75" customHeight="1" s="139"/>
    <row r="340" ht="15.75" customHeight="1" s="139"/>
    <row r="341" ht="15.75" customHeight="1" s="139"/>
    <row r="342" ht="15.75" customHeight="1" s="139"/>
    <row r="343" ht="15.75" customHeight="1" s="139"/>
    <row r="344" ht="15.75" customHeight="1" s="139"/>
    <row r="345" ht="15.75" customHeight="1" s="139"/>
    <row r="346" ht="15.75" customHeight="1" s="139"/>
    <row r="347" ht="15.75" customHeight="1" s="139"/>
    <row r="348" ht="15.75" customHeight="1" s="139"/>
    <row r="349" ht="15.75" customHeight="1" s="139"/>
    <row r="350" ht="15.75" customHeight="1" s="139"/>
    <row r="351" ht="15.75" customHeight="1" s="139"/>
    <row r="352" ht="15.75" customHeight="1" s="139"/>
    <row r="353" ht="15.75" customHeight="1" s="139"/>
    <row r="354" ht="15.75" customHeight="1" s="139"/>
    <row r="355" ht="15.75" customHeight="1" s="139"/>
    <row r="356" ht="15.75" customHeight="1" s="139"/>
    <row r="357" ht="15.75" customHeight="1" s="139"/>
    <row r="358" ht="15.75" customHeight="1" s="139"/>
    <row r="359" ht="15.75" customHeight="1" s="139"/>
    <row r="360" ht="15.75" customHeight="1" s="139"/>
    <row r="361" ht="15.75" customHeight="1" s="139"/>
    <row r="362" ht="15.75" customHeight="1" s="139"/>
    <row r="363" ht="15.75" customHeight="1" s="139"/>
    <row r="364" ht="15.75" customHeight="1" s="139"/>
    <row r="365" ht="15.75" customHeight="1" s="139"/>
    <row r="366" ht="15.75" customHeight="1" s="139"/>
    <row r="367" ht="15.75" customHeight="1" s="139"/>
    <row r="368" ht="15.75" customHeight="1" s="139"/>
    <row r="369" ht="15.75" customHeight="1" s="139"/>
    <row r="370" ht="15.75" customHeight="1" s="139"/>
    <row r="371" ht="15.75" customHeight="1" s="139"/>
    <row r="372" ht="15.75" customHeight="1" s="139"/>
    <row r="373" ht="15.75" customHeight="1" s="139"/>
    <row r="374" ht="15.75" customHeight="1" s="139"/>
    <row r="375" ht="15.75" customHeight="1" s="139"/>
    <row r="376" ht="15.75" customHeight="1" s="139"/>
    <row r="377" ht="15.75" customHeight="1" s="139"/>
    <row r="378" ht="15.75" customHeight="1" s="139"/>
    <row r="379" ht="15.75" customHeight="1" s="139"/>
    <row r="380" ht="15.75" customHeight="1" s="139"/>
    <row r="381" ht="15.75" customHeight="1" s="139"/>
    <row r="382" ht="15.75" customHeight="1" s="139"/>
    <row r="383" ht="15.75" customHeight="1" s="139"/>
    <row r="384" ht="15.75" customHeight="1" s="139"/>
    <row r="385" ht="15.75" customHeight="1" s="139"/>
    <row r="386" ht="15.75" customHeight="1" s="139"/>
    <row r="387" ht="15.75" customHeight="1" s="139"/>
    <row r="388" ht="15.75" customHeight="1" s="139"/>
    <row r="389" ht="15.75" customHeight="1" s="139"/>
    <row r="390" ht="15.75" customHeight="1" s="139"/>
    <row r="391" ht="15.75" customHeight="1" s="139"/>
    <row r="392" ht="15.75" customHeight="1" s="139"/>
    <row r="393" ht="15.75" customHeight="1" s="139"/>
    <row r="394" ht="15.75" customHeight="1" s="139"/>
    <row r="395" ht="15.75" customHeight="1" s="139"/>
    <row r="396" ht="15.75" customHeight="1" s="139"/>
    <row r="397" ht="15.75" customHeight="1" s="139"/>
    <row r="398" ht="15.75" customHeight="1" s="139"/>
    <row r="399" ht="15.75" customHeight="1" s="139"/>
    <row r="400" ht="15.75" customHeight="1" s="139"/>
    <row r="401" ht="15.75" customHeight="1" s="139"/>
    <row r="402" ht="15.75" customHeight="1" s="139"/>
    <row r="403" ht="15.75" customHeight="1" s="139"/>
    <row r="404" ht="15.75" customHeight="1" s="139"/>
    <row r="405" ht="15.75" customHeight="1" s="139"/>
    <row r="406" ht="15.75" customHeight="1" s="139"/>
    <row r="407" ht="15.75" customHeight="1" s="139"/>
    <row r="408" ht="15.75" customHeight="1" s="139"/>
    <row r="409" ht="15.75" customHeight="1" s="139"/>
    <row r="410" ht="15.75" customHeight="1" s="139"/>
    <row r="411" ht="15.75" customHeight="1" s="139"/>
    <row r="412" ht="15.75" customHeight="1" s="139"/>
    <row r="413" ht="15.75" customHeight="1" s="139"/>
    <row r="414" ht="15.75" customHeight="1" s="139"/>
    <row r="415" ht="15.75" customHeight="1" s="139"/>
    <row r="416" ht="15.75" customHeight="1" s="139"/>
    <row r="417" ht="15.75" customHeight="1" s="139"/>
    <row r="418" ht="15.75" customHeight="1" s="139"/>
    <row r="419" ht="15.75" customHeight="1" s="139"/>
    <row r="420" ht="15.75" customHeight="1" s="139"/>
    <row r="421" ht="15.75" customHeight="1" s="139"/>
    <row r="422" ht="15.75" customHeight="1" s="139"/>
    <row r="423" ht="15.75" customHeight="1" s="139"/>
    <row r="424" ht="15.75" customHeight="1" s="139"/>
    <row r="425" ht="15.75" customHeight="1" s="139"/>
    <row r="426" ht="15.75" customHeight="1" s="139"/>
    <row r="427" ht="15.75" customHeight="1" s="139"/>
    <row r="428" ht="15.75" customHeight="1" s="139"/>
    <row r="429" ht="15.75" customHeight="1" s="139"/>
    <row r="430" ht="15.75" customHeight="1" s="139"/>
    <row r="431" ht="15.75" customHeight="1" s="139"/>
    <row r="432" ht="15.75" customHeight="1" s="139"/>
    <row r="433" ht="15.75" customHeight="1" s="139"/>
    <row r="434" ht="15.75" customHeight="1" s="139"/>
    <row r="435" ht="15.75" customHeight="1" s="139"/>
    <row r="436" ht="15.75" customHeight="1" s="139"/>
    <row r="437" ht="15.75" customHeight="1" s="139"/>
    <row r="438" ht="15.75" customHeight="1" s="139"/>
    <row r="439" ht="15.75" customHeight="1" s="139"/>
    <row r="440" ht="15.75" customHeight="1" s="139"/>
    <row r="441" ht="15.75" customHeight="1" s="139"/>
    <row r="442" ht="15.75" customHeight="1" s="139"/>
    <row r="443" ht="15.75" customHeight="1" s="139"/>
    <row r="444" ht="15.75" customHeight="1" s="139"/>
    <row r="445" ht="15.75" customHeight="1" s="139"/>
    <row r="446" ht="15.75" customHeight="1" s="139"/>
    <row r="447" ht="15.75" customHeight="1" s="139"/>
    <row r="448" ht="15.75" customHeight="1" s="139"/>
    <row r="449" ht="15.75" customHeight="1" s="139"/>
    <row r="450" ht="15.75" customHeight="1" s="139"/>
    <row r="451" ht="15.75" customHeight="1" s="139"/>
    <row r="452" ht="15.75" customHeight="1" s="139"/>
    <row r="453" ht="15.75" customHeight="1" s="139"/>
    <row r="454" ht="15.75" customHeight="1" s="139"/>
    <row r="455" ht="15.75" customHeight="1" s="139"/>
    <row r="456" ht="15.75" customHeight="1" s="139"/>
    <row r="457" ht="15.75" customHeight="1" s="139"/>
    <row r="458" ht="15.75" customHeight="1" s="139"/>
    <row r="459" ht="15.75" customHeight="1" s="139"/>
    <row r="460" ht="15.75" customHeight="1" s="139"/>
    <row r="461" ht="15.75" customHeight="1" s="139"/>
    <row r="462" ht="15.75" customHeight="1" s="139"/>
    <row r="463" ht="15.75" customHeight="1" s="139"/>
    <row r="464" ht="15.75" customHeight="1" s="139"/>
    <row r="465" ht="15.75" customHeight="1" s="139"/>
    <row r="466" ht="15.75" customHeight="1" s="139"/>
    <row r="467" ht="15.75" customHeight="1" s="139"/>
    <row r="468" ht="15.75" customHeight="1" s="139"/>
    <row r="469" ht="15.75" customHeight="1" s="139"/>
    <row r="470" ht="15.75" customHeight="1" s="139"/>
    <row r="471" ht="15.75" customHeight="1" s="139"/>
    <row r="472" ht="15.75" customHeight="1" s="139"/>
    <row r="473" ht="15.75" customHeight="1" s="139"/>
    <row r="474" ht="15.75" customHeight="1" s="139"/>
    <row r="475" ht="15.75" customHeight="1" s="139"/>
    <row r="476" ht="15.75" customHeight="1" s="139"/>
    <row r="477" ht="15.75" customHeight="1" s="139"/>
    <row r="478" ht="15.75" customHeight="1" s="139"/>
    <row r="479" ht="15.75" customHeight="1" s="139"/>
    <row r="480" ht="15.75" customHeight="1" s="139"/>
    <row r="481" ht="15.75" customHeight="1" s="139"/>
    <row r="482" ht="15.75" customHeight="1" s="139"/>
    <row r="483" ht="15.75" customHeight="1" s="139"/>
    <row r="484" ht="15.75" customHeight="1" s="139"/>
    <row r="485" ht="15.75" customHeight="1" s="139"/>
    <row r="486" ht="15.75" customHeight="1" s="139"/>
    <row r="487" ht="15.75" customHeight="1" s="139"/>
    <row r="488" ht="15.75" customHeight="1" s="139"/>
    <row r="489" ht="15.75" customHeight="1" s="139"/>
    <row r="490" ht="15.75" customHeight="1" s="139"/>
    <row r="491" ht="15.75" customHeight="1" s="139"/>
    <row r="492" ht="15.75" customHeight="1" s="139"/>
    <row r="493" ht="15.75" customHeight="1" s="139"/>
    <row r="494" ht="15.75" customHeight="1" s="139"/>
    <row r="495" ht="15.75" customHeight="1" s="139"/>
    <row r="496" ht="15.75" customHeight="1" s="139"/>
    <row r="497" ht="15.75" customHeight="1" s="139"/>
    <row r="498" ht="15.75" customHeight="1" s="139"/>
    <row r="499" ht="15.75" customHeight="1" s="139"/>
    <row r="500" ht="15.75" customHeight="1" s="139"/>
    <row r="501" ht="15.75" customHeight="1" s="139"/>
    <row r="502" ht="15.75" customHeight="1" s="139"/>
    <row r="503" ht="15.75" customHeight="1" s="139"/>
    <row r="504" ht="15.75" customHeight="1" s="139"/>
    <row r="505" ht="15.75" customHeight="1" s="139"/>
    <row r="506" ht="15.75" customHeight="1" s="139"/>
    <row r="507" ht="15.75" customHeight="1" s="139"/>
    <row r="508" ht="15.75" customHeight="1" s="139"/>
    <row r="509" ht="15.75" customHeight="1" s="139"/>
    <row r="510" ht="15.75" customHeight="1" s="139"/>
    <row r="511" ht="15.75" customHeight="1" s="139"/>
    <row r="512" ht="15.75" customHeight="1" s="139"/>
    <row r="513" ht="15.75" customHeight="1" s="139"/>
    <row r="514" ht="15.75" customHeight="1" s="139"/>
    <row r="515" ht="15.75" customHeight="1" s="139"/>
    <row r="516" ht="15.75" customHeight="1" s="139"/>
    <row r="517" ht="15.75" customHeight="1" s="139"/>
    <row r="518" ht="15.75" customHeight="1" s="139"/>
    <row r="519" ht="15.75" customHeight="1" s="139"/>
    <row r="520" ht="15.75" customHeight="1" s="139"/>
    <row r="521" ht="15.75" customHeight="1" s="139"/>
    <row r="522" ht="15.75" customHeight="1" s="139"/>
    <row r="523" ht="15.75" customHeight="1" s="139"/>
    <row r="524" ht="15.75" customHeight="1" s="139"/>
    <row r="525" ht="15.75" customHeight="1" s="139"/>
    <row r="526" ht="15.75" customHeight="1" s="139"/>
    <row r="527" ht="15.75" customHeight="1" s="139"/>
    <row r="528" ht="15.75" customHeight="1" s="139"/>
    <row r="529" ht="15.75" customHeight="1" s="139"/>
    <row r="530" ht="15.75" customHeight="1" s="139"/>
    <row r="531" ht="15.75" customHeight="1" s="139"/>
    <row r="532" ht="15.75" customHeight="1" s="139"/>
    <row r="533" ht="15.75" customHeight="1" s="139"/>
    <row r="534" ht="15.75" customHeight="1" s="139"/>
    <row r="535" ht="15.75" customHeight="1" s="139"/>
    <row r="536" ht="15.75" customHeight="1" s="139"/>
    <row r="537" ht="15.75" customHeight="1" s="139"/>
    <row r="538" ht="15.75" customHeight="1" s="139"/>
    <row r="539" ht="15.75" customHeight="1" s="139"/>
    <row r="540" ht="15.75" customHeight="1" s="139"/>
    <row r="541" ht="15.75" customHeight="1" s="139"/>
    <row r="542" ht="15.75" customHeight="1" s="139"/>
    <row r="543" ht="15.75" customHeight="1" s="139"/>
    <row r="544" ht="15.75" customHeight="1" s="139"/>
    <row r="545" ht="15.75" customHeight="1" s="139"/>
    <row r="546" ht="15.75" customHeight="1" s="139"/>
    <row r="547" ht="15.75" customHeight="1" s="139"/>
    <row r="548" ht="15.75" customHeight="1" s="139"/>
    <row r="549" ht="15.75" customHeight="1" s="139"/>
    <row r="550" ht="15.75" customHeight="1" s="139"/>
    <row r="551" ht="15.75" customHeight="1" s="139"/>
    <row r="552" ht="15.75" customHeight="1" s="139"/>
    <row r="553" ht="15.75" customHeight="1" s="139"/>
    <row r="554" ht="15.75" customHeight="1" s="139"/>
    <row r="555" ht="15.75" customHeight="1" s="139"/>
    <row r="556" ht="15.75" customHeight="1" s="139"/>
    <row r="557" ht="15.75" customHeight="1" s="139"/>
    <row r="558" ht="15.75" customHeight="1" s="139"/>
    <row r="559" ht="15.75" customHeight="1" s="139"/>
    <row r="560" ht="15.75" customHeight="1" s="139"/>
    <row r="561" ht="15.75" customHeight="1" s="139"/>
    <row r="562" ht="15.75" customHeight="1" s="139"/>
    <row r="563" ht="15.75" customHeight="1" s="139"/>
    <row r="564" ht="15.75" customHeight="1" s="139"/>
    <row r="565" ht="15.75" customHeight="1" s="139"/>
    <row r="566" ht="15.75" customHeight="1" s="139"/>
    <row r="567" ht="15.75" customHeight="1" s="139"/>
    <row r="568" ht="15.75" customHeight="1" s="139"/>
    <row r="569" ht="15.75" customHeight="1" s="139"/>
    <row r="570" ht="15.75" customHeight="1" s="139"/>
    <row r="571" ht="15.75" customHeight="1" s="139"/>
    <row r="572" ht="15.75" customHeight="1" s="139"/>
    <row r="573" ht="15.75" customHeight="1" s="139"/>
    <row r="574" ht="15.75" customHeight="1" s="139"/>
    <row r="575" ht="15.75" customHeight="1" s="139"/>
    <row r="576" ht="15.75" customHeight="1" s="139"/>
    <row r="577" ht="15.75" customHeight="1" s="139"/>
    <row r="578" ht="15.75" customHeight="1" s="139"/>
    <row r="579" ht="15.75" customHeight="1" s="139"/>
    <row r="580" ht="15.75" customHeight="1" s="139"/>
    <row r="581" ht="15.75" customHeight="1" s="139"/>
    <row r="582" ht="15.75" customHeight="1" s="139"/>
    <row r="583" ht="15.75" customHeight="1" s="139"/>
    <row r="584" ht="15.75" customHeight="1" s="139"/>
    <row r="585" ht="15.75" customHeight="1" s="139"/>
    <row r="586" ht="15.75" customHeight="1" s="139"/>
    <row r="587" ht="15.75" customHeight="1" s="139"/>
    <row r="588" ht="15.75" customHeight="1" s="139"/>
    <row r="589" ht="15.75" customHeight="1" s="139"/>
    <row r="590" ht="15.75" customHeight="1" s="139"/>
    <row r="591" ht="15.75" customHeight="1" s="139"/>
    <row r="592" ht="15.75" customHeight="1" s="139"/>
    <row r="593" ht="15.75" customHeight="1" s="139"/>
    <row r="594" ht="15.75" customHeight="1" s="139"/>
    <row r="595" ht="15.75" customHeight="1" s="139"/>
    <row r="596" ht="15.75" customHeight="1" s="139"/>
    <row r="597" ht="15.75" customHeight="1" s="139"/>
    <row r="598" ht="15.75" customHeight="1" s="139"/>
    <row r="599" ht="15.75" customHeight="1" s="139"/>
    <row r="600" ht="15.75" customHeight="1" s="139"/>
    <row r="601" ht="15.75" customHeight="1" s="139"/>
    <row r="602" ht="15.75" customHeight="1" s="139"/>
    <row r="603" ht="15.75" customHeight="1" s="139"/>
    <row r="604" ht="15.75" customHeight="1" s="139"/>
    <row r="605" ht="15.75" customHeight="1" s="139"/>
    <row r="606" ht="15.75" customHeight="1" s="139"/>
    <row r="607" ht="15.75" customHeight="1" s="139"/>
    <row r="608" ht="15.75" customHeight="1" s="139"/>
    <row r="609" ht="15.75" customHeight="1" s="139"/>
    <row r="610" ht="15.75" customHeight="1" s="139"/>
    <row r="611" ht="15.75" customHeight="1" s="139"/>
    <row r="612" ht="15.75" customHeight="1" s="139"/>
    <row r="613" ht="15.75" customHeight="1" s="139"/>
    <row r="614" ht="15.75" customHeight="1" s="139"/>
    <row r="615" ht="15.75" customHeight="1" s="139"/>
    <row r="616" ht="15.75" customHeight="1" s="139"/>
    <row r="617" ht="15.75" customHeight="1" s="139"/>
    <row r="618" ht="15.75" customHeight="1" s="139"/>
    <row r="619" ht="15.75" customHeight="1" s="139"/>
    <row r="620" ht="15.75" customHeight="1" s="139"/>
    <row r="621" ht="15.75" customHeight="1" s="139"/>
    <row r="622" ht="15.75" customHeight="1" s="139"/>
    <row r="623" ht="15.75" customHeight="1" s="139"/>
    <row r="624" ht="15.75" customHeight="1" s="139"/>
    <row r="625" ht="15.75" customHeight="1" s="139"/>
    <row r="626" ht="15.75" customHeight="1" s="139"/>
    <row r="627" ht="15.75" customHeight="1" s="139"/>
    <row r="628" ht="15.75" customHeight="1" s="139"/>
    <row r="629" ht="15.75" customHeight="1" s="139"/>
    <row r="630" ht="15.75" customHeight="1" s="139"/>
    <row r="631" ht="15.75" customHeight="1" s="139"/>
    <row r="632" ht="15.75" customHeight="1" s="139"/>
    <row r="633" ht="15.75" customHeight="1" s="139"/>
    <row r="634" ht="15.75" customHeight="1" s="139"/>
    <row r="635" ht="15.75" customHeight="1" s="139"/>
    <row r="636" ht="15.75" customHeight="1" s="139"/>
    <row r="637" ht="15.75" customHeight="1" s="139"/>
    <row r="638" ht="15.75" customHeight="1" s="139"/>
    <row r="639" ht="15.75" customHeight="1" s="139"/>
    <row r="640" ht="15.75" customHeight="1" s="139"/>
    <row r="641" ht="15.75" customHeight="1" s="139"/>
    <row r="642" ht="15.75" customHeight="1" s="139"/>
    <row r="643" ht="15.75" customHeight="1" s="139"/>
    <row r="644" ht="15.75" customHeight="1" s="139"/>
    <row r="645" ht="15.75" customHeight="1" s="139"/>
    <row r="646" ht="15.75" customHeight="1" s="139"/>
    <row r="647" ht="15.75" customHeight="1" s="139"/>
    <row r="648" ht="15.75" customHeight="1" s="139"/>
    <row r="649" ht="15.75" customHeight="1" s="139"/>
    <row r="650" ht="15.75" customHeight="1" s="139"/>
    <row r="651" ht="15.75" customHeight="1" s="139"/>
    <row r="652" ht="15.75" customHeight="1" s="139"/>
    <row r="653" ht="15.75" customHeight="1" s="139"/>
    <row r="654" ht="15.75" customHeight="1" s="139"/>
    <row r="655" ht="15.75" customHeight="1" s="139"/>
    <row r="656" ht="15.75" customHeight="1" s="139"/>
    <row r="657" ht="15.75" customHeight="1" s="139"/>
    <row r="658" ht="15.75" customHeight="1" s="139"/>
    <row r="659" ht="15.75" customHeight="1" s="139"/>
    <row r="660" ht="15.75" customHeight="1" s="139"/>
    <row r="661" ht="15.75" customHeight="1" s="139"/>
    <row r="662" ht="15.75" customHeight="1" s="139"/>
    <row r="663" ht="15.75" customHeight="1" s="139"/>
    <row r="664" ht="15.75" customHeight="1" s="139"/>
    <row r="665" ht="15.75" customHeight="1" s="139"/>
    <row r="666" ht="15.75" customHeight="1" s="139"/>
    <row r="667" ht="15.75" customHeight="1" s="139"/>
    <row r="668" ht="15.75" customHeight="1" s="139"/>
    <row r="669" ht="15.75" customHeight="1" s="139"/>
    <row r="670" ht="15.75" customHeight="1" s="139"/>
    <row r="671" ht="15.75" customHeight="1" s="139"/>
    <row r="672" ht="15.75" customHeight="1" s="139"/>
    <row r="673" ht="15.75" customHeight="1" s="139"/>
    <row r="674" ht="15.75" customHeight="1" s="139"/>
    <row r="675" ht="15.75" customHeight="1" s="139"/>
    <row r="676" ht="15.75" customHeight="1" s="139"/>
    <row r="677" ht="15.75" customHeight="1" s="139"/>
    <row r="678" ht="15.75" customHeight="1" s="139"/>
    <row r="679" ht="15.75" customHeight="1" s="139"/>
    <row r="680" ht="15.75" customHeight="1" s="139"/>
    <row r="681" ht="15.75" customHeight="1" s="139"/>
    <row r="682" ht="15.75" customHeight="1" s="139"/>
    <row r="683" ht="15.75" customHeight="1" s="139"/>
    <row r="684" ht="15.75" customHeight="1" s="139"/>
    <row r="685" ht="15.75" customHeight="1" s="139"/>
    <row r="686" ht="15.75" customHeight="1" s="139"/>
    <row r="687" ht="15.75" customHeight="1" s="139"/>
    <row r="688" ht="15.75" customHeight="1" s="139"/>
    <row r="689" ht="15.75" customHeight="1" s="139"/>
    <row r="690" ht="15.75" customHeight="1" s="139"/>
    <row r="691" ht="15.75" customHeight="1" s="139"/>
    <row r="692" ht="15.75" customHeight="1" s="139"/>
    <row r="693" ht="15.75" customHeight="1" s="139"/>
    <row r="694" ht="15.75" customHeight="1" s="139"/>
    <row r="695" ht="15.75" customHeight="1" s="139"/>
    <row r="696" ht="15.75" customHeight="1" s="139"/>
    <row r="697" ht="15.75" customHeight="1" s="139"/>
    <row r="698" ht="15.75" customHeight="1" s="139"/>
    <row r="699" ht="15.75" customHeight="1" s="139"/>
    <row r="700" ht="15.75" customHeight="1" s="139"/>
    <row r="701" ht="15.75" customHeight="1" s="139"/>
    <row r="702" ht="15.75" customHeight="1" s="139"/>
    <row r="703" ht="15.75" customHeight="1" s="139"/>
    <row r="704" ht="15.75" customHeight="1" s="139"/>
    <row r="705" ht="15.75" customHeight="1" s="139"/>
    <row r="706" ht="15.75" customHeight="1" s="139"/>
    <row r="707" ht="15.75" customHeight="1" s="139"/>
    <row r="708" ht="15.75" customHeight="1" s="139"/>
    <row r="709" ht="15.75" customHeight="1" s="139"/>
    <row r="710" ht="15.75" customHeight="1" s="139"/>
    <row r="711" ht="15.75" customHeight="1" s="139"/>
    <row r="712" ht="15.75" customHeight="1" s="139"/>
    <row r="713" ht="15.75" customHeight="1" s="139"/>
    <row r="714" ht="15.75" customHeight="1" s="139"/>
    <row r="715" ht="15.75" customHeight="1" s="139"/>
    <row r="716" ht="15.75" customHeight="1" s="139"/>
    <row r="717" ht="15.75" customHeight="1" s="139"/>
    <row r="718" ht="15.75" customHeight="1" s="139"/>
    <row r="719" ht="15.75" customHeight="1" s="139"/>
    <row r="720" ht="15.75" customHeight="1" s="139"/>
    <row r="721" ht="15.75" customHeight="1" s="139"/>
    <row r="722" ht="15.75" customHeight="1" s="139"/>
    <row r="723" ht="15.75" customHeight="1" s="139"/>
    <row r="724" ht="15.75" customHeight="1" s="139"/>
    <row r="725" ht="15.75" customHeight="1" s="139"/>
    <row r="726" ht="15.75" customHeight="1" s="139"/>
    <row r="727" ht="15.75" customHeight="1" s="139"/>
    <row r="728" ht="15.75" customHeight="1" s="139"/>
    <row r="729" ht="15.75" customHeight="1" s="139"/>
    <row r="730" ht="15.75" customHeight="1" s="139"/>
    <row r="731" ht="15.75" customHeight="1" s="139"/>
    <row r="732" ht="15.75" customHeight="1" s="139"/>
    <row r="733" ht="15.75" customHeight="1" s="139"/>
    <row r="734" ht="15.75" customHeight="1" s="139"/>
    <row r="735" ht="15.75" customHeight="1" s="139"/>
    <row r="736" ht="15.75" customHeight="1" s="139"/>
    <row r="737" ht="15.75" customHeight="1" s="139"/>
    <row r="738" ht="15.75" customHeight="1" s="139"/>
    <row r="739" ht="15.75" customHeight="1" s="139"/>
    <row r="740" ht="15.75" customHeight="1" s="139"/>
    <row r="741" ht="15.75" customHeight="1" s="139"/>
    <row r="742" ht="15.75" customHeight="1" s="139"/>
    <row r="743" ht="15.75" customHeight="1" s="139"/>
    <row r="744" ht="15.75" customHeight="1" s="139"/>
    <row r="745" ht="15.75" customHeight="1" s="139"/>
    <row r="746" ht="15.75" customHeight="1" s="139"/>
    <row r="747" ht="15.75" customHeight="1" s="139"/>
    <row r="748" ht="15.75" customHeight="1" s="139"/>
    <row r="749" ht="15.75" customHeight="1" s="139"/>
    <row r="750" ht="15.75" customHeight="1" s="139"/>
    <row r="751" ht="15.75" customHeight="1" s="139"/>
    <row r="752" ht="15.75" customHeight="1" s="139"/>
    <row r="753" ht="15.75" customHeight="1" s="139"/>
    <row r="754" ht="15.75" customHeight="1" s="139"/>
    <row r="755" ht="15.75" customHeight="1" s="139"/>
    <row r="756" ht="15.75" customHeight="1" s="139"/>
    <row r="757" ht="15.75" customHeight="1" s="139"/>
    <row r="758" ht="15.75" customHeight="1" s="139"/>
    <row r="759" ht="15.75" customHeight="1" s="139"/>
    <row r="760" ht="15.75" customHeight="1" s="139"/>
    <row r="761" ht="15.75" customHeight="1" s="139"/>
    <row r="762" ht="15.75" customHeight="1" s="139"/>
    <row r="763" ht="15.75" customHeight="1" s="139"/>
    <row r="764" ht="15.75" customHeight="1" s="139"/>
    <row r="765" ht="15.75" customHeight="1" s="139"/>
    <row r="766" ht="15.75" customHeight="1" s="139"/>
    <row r="767" ht="15.75" customHeight="1" s="139"/>
    <row r="768" ht="15.75" customHeight="1" s="139"/>
    <row r="769" ht="15.75" customHeight="1" s="139"/>
    <row r="770" ht="15.75" customHeight="1" s="139"/>
    <row r="771" ht="15.75" customHeight="1" s="139"/>
    <row r="772" ht="15.75" customHeight="1" s="139"/>
    <row r="773" ht="15.75" customHeight="1" s="139"/>
    <row r="774" ht="15.75" customHeight="1" s="139"/>
    <row r="775" ht="15.75" customHeight="1" s="139"/>
    <row r="776" ht="15.75" customHeight="1" s="139"/>
    <row r="777" ht="15.75" customHeight="1" s="139"/>
    <row r="778" ht="15.75" customHeight="1" s="139"/>
    <row r="779" ht="15.75" customHeight="1" s="139"/>
    <row r="780" ht="15.75" customHeight="1" s="139"/>
    <row r="781" ht="15.75" customHeight="1" s="139"/>
    <row r="782" ht="15.75" customHeight="1" s="139"/>
    <row r="783" ht="15.75" customHeight="1" s="139"/>
    <row r="784" ht="15.75" customHeight="1" s="139"/>
    <row r="785" ht="15.75" customHeight="1" s="139"/>
    <row r="786" ht="15.75" customHeight="1" s="139"/>
    <row r="787" ht="15.75" customHeight="1" s="139"/>
    <row r="788" ht="15.75" customHeight="1" s="139"/>
    <row r="789" ht="15.75" customHeight="1" s="139"/>
    <row r="790" ht="15.75" customHeight="1" s="139"/>
    <row r="791" ht="15.75" customHeight="1" s="139"/>
    <row r="792" ht="15.75" customHeight="1" s="139"/>
    <row r="793" ht="15.75" customHeight="1" s="139"/>
    <row r="794" ht="15.75" customHeight="1" s="139"/>
    <row r="795" ht="15.75" customHeight="1" s="139"/>
    <row r="796" ht="15.75" customHeight="1" s="139"/>
    <row r="797" ht="15.75" customHeight="1" s="139"/>
    <row r="798" ht="15.75" customHeight="1" s="139"/>
    <row r="799" ht="15.75" customHeight="1" s="139"/>
    <row r="800" ht="15.75" customHeight="1" s="139"/>
    <row r="801" ht="15.75" customHeight="1" s="139"/>
    <row r="802" ht="15.75" customHeight="1" s="139"/>
    <row r="803" ht="15.75" customHeight="1" s="139"/>
    <row r="804" ht="15.75" customHeight="1" s="139"/>
    <row r="805" ht="15.75" customHeight="1" s="139"/>
    <row r="806" ht="15.75" customHeight="1" s="139"/>
    <row r="807" ht="15.75" customHeight="1" s="139"/>
    <row r="808" ht="15.75" customHeight="1" s="139"/>
    <row r="809" ht="15.75" customHeight="1" s="139"/>
    <row r="810" ht="15.75" customHeight="1" s="139"/>
    <row r="811" ht="15.75" customHeight="1" s="139"/>
    <row r="812" ht="15.75" customHeight="1" s="139"/>
    <row r="813" ht="15.75" customHeight="1" s="139"/>
    <row r="814" ht="15.75" customHeight="1" s="139"/>
    <row r="815" ht="15.75" customHeight="1" s="139"/>
    <row r="816" ht="15.75" customHeight="1" s="139"/>
    <row r="817" ht="15.75" customHeight="1" s="139"/>
    <row r="818" ht="15.75" customHeight="1" s="139"/>
    <row r="819" ht="15.75" customHeight="1" s="139"/>
    <row r="820" ht="15.75" customHeight="1" s="139"/>
    <row r="821" ht="15.75" customHeight="1" s="139"/>
    <row r="822" ht="15.75" customHeight="1" s="139"/>
    <row r="823" ht="15.75" customHeight="1" s="139"/>
    <row r="824" ht="15.75" customHeight="1" s="139"/>
    <row r="825" ht="15.75" customHeight="1" s="139"/>
    <row r="826" ht="15.75" customHeight="1" s="139"/>
    <row r="827" ht="15.75" customHeight="1" s="139"/>
    <row r="828" ht="15.75" customHeight="1" s="139"/>
    <row r="829" ht="15.75" customHeight="1" s="139"/>
    <row r="830" ht="15.75" customHeight="1" s="139"/>
    <row r="831" ht="15.75" customHeight="1" s="139"/>
    <row r="832" ht="15.75" customHeight="1" s="139"/>
    <row r="833" ht="15.75" customHeight="1" s="139"/>
    <row r="834" ht="15.75" customHeight="1" s="139"/>
    <row r="835" ht="15.75" customHeight="1" s="139"/>
    <row r="836" ht="15.75" customHeight="1" s="139"/>
    <row r="837" ht="15.75" customHeight="1" s="139"/>
    <row r="838" ht="15.75" customHeight="1" s="139"/>
    <row r="839" ht="15.75" customHeight="1" s="139"/>
    <row r="840" ht="15.75" customHeight="1" s="139"/>
    <row r="841" ht="15.75" customHeight="1" s="139"/>
    <row r="842" ht="15.75" customHeight="1" s="139"/>
    <row r="843" ht="15.75" customHeight="1" s="139"/>
    <row r="844" ht="15.75" customHeight="1" s="139"/>
    <row r="845" ht="15.75" customHeight="1" s="139"/>
    <row r="846" ht="15.75" customHeight="1" s="139"/>
    <row r="847" ht="15.75" customHeight="1" s="139"/>
    <row r="848" ht="15.75" customHeight="1" s="139"/>
    <row r="849" ht="15.75" customHeight="1" s="139"/>
    <row r="850" ht="15.75" customHeight="1" s="139"/>
    <row r="851" ht="15.75" customHeight="1" s="139"/>
    <row r="852" ht="15.75" customHeight="1" s="139"/>
    <row r="853" ht="15.75" customHeight="1" s="139"/>
    <row r="854" ht="15.75" customHeight="1" s="139"/>
    <row r="855" ht="15.75" customHeight="1" s="139"/>
    <row r="856" ht="15.75" customHeight="1" s="139"/>
    <row r="857" ht="15.75" customHeight="1" s="139"/>
    <row r="858" ht="15.75" customHeight="1" s="139"/>
    <row r="859" ht="15.75" customHeight="1" s="139"/>
    <row r="860" ht="15.75" customHeight="1" s="139"/>
    <row r="861" ht="15.75" customHeight="1" s="139"/>
    <row r="862" ht="15.75" customHeight="1" s="139"/>
    <row r="863" ht="15.75" customHeight="1" s="139"/>
    <row r="864" ht="15.75" customHeight="1" s="139"/>
    <row r="865" ht="15.75" customHeight="1" s="139"/>
    <row r="866" ht="15.75" customHeight="1" s="139"/>
    <row r="867" ht="15.75" customHeight="1" s="139"/>
    <row r="868" ht="15.75" customHeight="1" s="139"/>
    <row r="869" ht="15.75" customHeight="1" s="139"/>
    <row r="870" ht="15.75" customHeight="1" s="139"/>
    <row r="871" ht="15.75" customHeight="1" s="139"/>
    <row r="872" ht="15.75" customHeight="1" s="139"/>
    <row r="873" ht="15.75" customHeight="1" s="139"/>
    <row r="874" ht="15.75" customHeight="1" s="139"/>
    <row r="875" ht="15.75" customHeight="1" s="139"/>
    <row r="876" ht="15.75" customHeight="1" s="139"/>
    <row r="877" ht="15.75" customHeight="1" s="139"/>
    <row r="878" ht="15.75" customHeight="1" s="139"/>
    <row r="879" ht="15.75" customHeight="1" s="139"/>
    <row r="880" ht="15.75" customHeight="1" s="139"/>
    <row r="881" ht="15.75" customHeight="1" s="139"/>
    <row r="882" ht="15.75" customHeight="1" s="139"/>
    <row r="883" ht="15.75" customHeight="1" s="139"/>
    <row r="884" ht="15.75" customHeight="1" s="139"/>
    <row r="885" ht="15.75" customHeight="1" s="139"/>
    <row r="886" ht="15.75" customHeight="1" s="139"/>
    <row r="887" ht="15.75" customHeight="1" s="139"/>
    <row r="888" ht="15.75" customHeight="1" s="139"/>
    <row r="889" ht="15.75" customHeight="1" s="139"/>
    <row r="890" ht="15.75" customHeight="1" s="139"/>
    <row r="891" ht="15.75" customHeight="1" s="139"/>
    <row r="892" ht="15.75" customHeight="1" s="139"/>
    <row r="893" ht="15.75" customHeight="1" s="139"/>
    <row r="894" ht="15.75" customHeight="1" s="139"/>
    <row r="895" ht="15.75" customHeight="1" s="139"/>
    <row r="896" ht="15.75" customHeight="1" s="139"/>
    <row r="897" ht="15.75" customHeight="1" s="139"/>
    <row r="898" ht="15.75" customHeight="1" s="139"/>
    <row r="899" ht="15.75" customHeight="1" s="139"/>
    <row r="900" ht="15.75" customHeight="1" s="139"/>
    <row r="901" ht="15.75" customHeight="1" s="139"/>
    <row r="902" ht="15.75" customHeight="1" s="139"/>
    <row r="903" ht="15.75" customHeight="1" s="139"/>
    <row r="904" ht="15.75" customHeight="1" s="139"/>
    <row r="905" ht="15.75" customHeight="1" s="139"/>
    <row r="906" ht="15.75" customHeight="1" s="139"/>
    <row r="907" ht="15.75" customHeight="1" s="139"/>
    <row r="908" ht="15.75" customHeight="1" s="139"/>
    <row r="909" ht="15.75" customHeight="1" s="139"/>
    <row r="910" ht="15.75" customHeight="1" s="139"/>
    <row r="911" ht="15.75" customHeight="1" s="139"/>
    <row r="912" ht="15.75" customHeight="1" s="139"/>
    <row r="913" ht="15.75" customHeight="1" s="139"/>
    <row r="914" ht="15.75" customHeight="1" s="139"/>
    <row r="915" ht="15.75" customHeight="1" s="139"/>
    <row r="916" ht="15.75" customHeight="1" s="139"/>
    <row r="917" ht="15.75" customHeight="1" s="139"/>
    <row r="918" ht="15.75" customHeight="1" s="139"/>
    <row r="919" ht="15.75" customHeight="1" s="139"/>
    <row r="920" ht="15.75" customHeight="1" s="139"/>
    <row r="921" ht="15.75" customHeight="1" s="139"/>
    <row r="922" ht="15.75" customHeight="1" s="139"/>
    <row r="923" ht="15.75" customHeight="1" s="139"/>
    <row r="924" ht="15.75" customHeight="1" s="139"/>
    <row r="925" ht="15.75" customHeight="1" s="139"/>
    <row r="926" ht="15.75" customHeight="1" s="139"/>
    <row r="927" ht="15.75" customHeight="1" s="139"/>
    <row r="928" ht="15.75" customHeight="1" s="139"/>
    <row r="929" ht="15.75" customHeight="1" s="139"/>
    <row r="930" ht="15.75" customHeight="1" s="139"/>
    <row r="931" ht="15.75" customHeight="1" s="139"/>
    <row r="932" ht="15.75" customHeight="1" s="139"/>
    <row r="933" ht="15.75" customHeight="1" s="139"/>
    <row r="934" ht="15.75" customHeight="1" s="139"/>
    <row r="935" ht="15.75" customHeight="1" s="139"/>
    <row r="936" ht="15.75" customHeight="1" s="139"/>
    <row r="937" ht="15.75" customHeight="1" s="139"/>
    <row r="938" ht="15.75" customHeight="1" s="139"/>
    <row r="939" ht="15.75" customHeight="1" s="139"/>
    <row r="940" ht="15.75" customHeight="1" s="139"/>
    <row r="941" ht="15.75" customHeight="1" s="139"/>
    <row r="942" ht="15.75" customHeight="1" s="139"/>
    <row r="943" ht="15.75" customHeight="1" s="139"/>
    <row r="944" ht="15.75" customHeight="1" s="139"/>
    <row r="945" ht="15.75" customHeight="1" s="139"/>
    <row r="946" ht="15.75" customHeight="1" s="139"/>
    <row r="947" ht="15.75" customHeight="1" s="139"/>
    <row r="948" ht="15.75" customHeight="1" s="139"/>
    <row r="949" ht="15.75" customHeight="1" s="139"/>
    <row r="950" ht="15.75" customHeight="1" s="139"/>
    <row r="951" ht="15.75" customHeight="1" s="139"/>
    <row r="952" ht="15.75" customHeight="1" s="139"/>
    <row r="953" ht="15.75" customHeight="1" s="139"/>
    <row r="954" ht="15.75" customHeight="1" s="139"/>
    <row r="955" ht="15.75" customHeight="1" s="139"/>
    <row r="956" ht="15.75" customHeight="1" s="139"/>
    <row r="957" ht="15.75" customHeight="1" s="139"/>
    <row r="958" ht="15.75" customHeight="1" s="139"/>
    <row r="959" ht="15.75" customHeight="1" s="139"/>
    <row r="960" ht="15.75" customHeight="1" s="139"/>
    <row r="961" ht="15.75" customHeight="1" s="139"/>
    <row r="962" ht="15.75" customHeight="1" s="139"/>
    <row r="963" ht="15.75" customHeight="1" s="139"/>
    <row r="964" ht="15.75" customHeight="1" s="139"/>
    <row r="965" ht="15.75" customHeight="1" s="139"/>
    <row r="966" ht="15.75" customHeight="1" s="139"/>
    <row r="967" ht="15.75" customHeight="1" s="139"/>
    <row r="968" ht="15.75" customHeight="1" s="139"/>
    <row r="969" ht="15.75" customHeight="1" s="139"/>
    <row r="970" ht="15.75" customHeight="1" s="139"/>
    <row r="971" ht="15.75" customHeight="1" s="139"/>
    <row r="972" ht="15.75" customHeight="1" s="139"/>
    <row r="973" ht="15.75" customHeight="1" s="139"/>
    <row r="974" ht="15.75" customHeight="1" s="139"/>
    <row r="975" ht="15.75" customHeight="1" s="139"/>
    <row r="976" ht="15.75" customHeight="1" s="139"/>
    <row r="977" ht="15.75" customHeight="1" s="139"/>
    <row r="978" ht="15.75" customHeight="1" s="139"/>
    <row r="979" ht="15.75" customHeight="1" s="139"/>
    <row r="980" ht="15.75" customHeight="1" s="139"/>
    <row r="981" ht="15.75" customHeight="1" s="139"/>
    <row r="982" ht="15.75" customHeight="1" s="139"/>
    <row r="983" ht="15.75" customHeight="1" s="139"/>
    <row r="984" ht="15.75" customHeight="1" s="139"/>
    <row r="985" ht="15.75" customHeight="1" s="139"/>
    <row r="986" ht="15.75" customHeight="1" s="139"/>
    <row r="987" ht="15.75" customHeight="1" s="139"/>
    <row r="988" ht="15.75" customHeight="1" s="139"/>
    <row r="989" ht="15.75" customHeight="1" s="139"/>
    <row r="990" ht="15.75" customHeight="1" s="139"/>
    <row r="991" ht="15.75" customHeight="1" s="139"/>
    <row r="992" ht="15.75" customHeight="1" s="139"/>
    <row r="993" ht="15.75" customHeight="1" s="139"/>
    <row r="994" ht="15.75" customHeight="1" s="139"/>
    <row r="995" ht="15.75" customHeight="1" s="139"/>
    <row r="996" ht="15.75" customHeight="1" s="139"/>
    <row r="997" ht="15.75" customHeight="1" s="139"/>
    <row r="998" ht="15.75" customHeight="1" s="139"/>
    <row r="999" ht="15.75" customHeight="1" s="139"/>
    <row r="1000" ht="15.75" customHeight="1" s="139"/>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I29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50.13" customWidth="1" style="139" min="1" max="1"/>
    <col width="19" customWidth="1" style="139" min="2" max="2"/>
    <col width="19.63" customWidth="1" style="139" min="3" max="3"/>
    <col width="18.75" customWidth="1" style="139" min="4" max="4"/>
    <col width="23.25" customWidth="1" style="139" min="5" max="5"/>
    <col width="42.25" customWidth="1" style="139" min="6" max="6"/>
    <col width="16.5" customWidth="1" style="139" min="7" max="8"/>
    <col width="46" customWidth="1" style="139" min="9" max="9"/>
  </cols>
  <sheetData>
    <row r="1" ht="25.5" customHeight="1" s="139">
      <c r="A1" s="5" t="inlineStr">
        <is>
          <t>KAT-VAD — TỔNG HỢP KẾT QUẢ EDA (Exploratory Data Analysis) CÁC BỘ DỮ LIỆU</t>
        </is>
      </c>
    </row>
    <row r="2" ht="15.75" customHeight="1" s="139">
      <c r="A2" s="2" t="n"/>
      <c r="B2" s="2" t="n"/>
      <c r="C2" s="2" t="n"/>
      <c r="D2" s="2" t="n"/>
      <c r="E2" s="2" t="n"/>
      <c r="F2" s="2" t="n"/>
      <c r="G2" s="2" t="n"/>
      <c r="H2" s="2" t="n"/>
      <c r="I2" s="2" t="n"/>
    </row>
    <row r="3" ht="21.75" customHeight="1" s="139">
      <c r="A3" s="19" t="inlineStr">
        <is>
          <t>1. DANH MỤC CÁC LẦN CHẠY EDA</t>
        </is>
      </c>
    </row>
    <row r="4" ht="15.75" customHeight="1" s="139">
      <c r="A4" s="21" t="n"/>
    </row>
    <row r="5" ht="30" customHeight="1" s="139">
      <c r="A5" s="25" t="inlineStr">
        <is>
          <t>Thư mục artifact</t>
        </is>
      </c>
      <c r="B5" s="25" t="inlineStr">
        <is>
          <t>Bộ dữ liệu</t>
        </is>
      </c>
      <c r="C5" s="25" t="inlineStr">
        <is>
          <t>Hình học / cấu hình</t>
        </is>
      </c>
      <c r="D5" s="25" t="inlineStr">
        <is>
          <t>Vai trò trong đề tài</t>
        </is>
      </c>
      <c r="E5" s="140" t="n"/>
      <c r="F5" s="25" t="inlineStr">
        <is>
          <t>Kết luận nhanh</t>
        </is>
      </c>
      <c r="G5" s="141" t="n"/>
      <c r="H5" s="140" t="n"/>
      <c r="I5" s="25" t="inlineStr">
        <is>
          <t>Ghi chú</t>
        </is>
      </c>
    </row>
    <row r="6" ht="42" customHeight="1" s="139">
      <c r="A6" s="35" t="inlineStr">
        <is>
          <t>DoTA</t>
        </is>
      </c>
      <c r="B6" s="37" t="inlineStr">
        <is>
          <t>DoTA (traffic, ego-view)</t>
        </is>
      </c>
      <c r="C6" s="37" t="inlineStr">
        <is>
          <t>clip nguyên bản, kernel 9</t>
        </is>
      </c>
      <c r="D6" s="37" t="inlineStr">
        <is>
          <t>Benchmark zero-shot GIỮ NGOÀI — mọi so sánh của đề tài định nghĩa bằng việc DoTA chưa từng được train</t>
        </is>
      </c>
      <c r="E6" s="140" t="n"/>
      <c r="F6" s="37" t="inlineStr">
        <is>
          <t>SẠCH: oracle 0.5017, leak 0.4993, probe macro 0.6708. Nhưng train_clips = 0 và chỉ có 3 clip normal → không thể train.</t>
        </is>
      </c>
      <c r="G6" s="141" t="n"/>
      <c r="H6" s="140" t="n"/>
      <c r="I6" s="41" t="inlineStr">
        <is>
          <t>✅ dùng được</t>
        </is>
      </c>
    </row>
    <row r="7" ht="75.75" customHeight="1" s="139">
      <c r="A7" s="44" t="inlineStr">
        <is>
          <t>TAD</t>
        </is>
      </c>
      <c r="B7" s="45" t="inlineStr">
        <is>
          <t>TAD (traffic CCTV)</t>
        </is>
      </c>
      <c r="C7" s="45" t="inlineStr">
        <is>
          <t>clip nguyên bản, kernel 9</t>
        </is>
      </c>
      <c r="D7" s="45" t="inlineStr">
        <is>
          <t>Dùng làm evaluation để reproduce xem giống kết quả
baseline hay không. Và có tiến hành train thử, nhưng bộ 
đatasset này là non-ego-centric không dùng chính thức
cho đề tài</t>
        </is>
      </c>
      <c r="E7" s="140" t="n"/>
      <c r="F7" s="45" t="inlineStr">
        <is>
          <t>oracle micro 0.9226, chỉ riêng độ dài clip đã cho micro 0.8968 → micro AUC ở đây là phân loại clip.</t>
        </is>
      </c>
      <c r="G7" s="141" t="n"/>
      <c r="H7" s="140" t="n"/>
      <c r="I7" s="41" t="inlineStr">
        <is>
          <t>❌ không dùng được</t>
        </is>
      </c>
    </row>
    <row r="8" ht="42" customHeight="1" s="139">
      <c r="A8" s="44" t="inlineStr">
        <is>
          <t>DADA2000</t>
        </is>
      </c>
      <c r="B8" s="45" t="inlineStr">
        <is>
          <t>DADA-2000 (bản archive đã cắt)</t>
        </is>
      </c>
      <c r="C8" s="45" t="inlineStr">
        <is>
          <t>clip nguyên bản, kernel 9</t>
        </is>
      </c>
      <c r="D8" s="45" t="inlineStr">
        <is>
          <t>Dùng thử để train thử model</t>
        </is>
      </c>
      <c r="E8" s="140" t="n"/>
      <c r="F8" s="45" t="inlineStr">
        <is>
          <t>trung bình số frame T = 9 ≤ kernel 9, oracle 0.9086, leak 0.8654, probe chỉ 0.5228.</t>
        </is>
      </c>
      <c r="G8" s="141" t="n"/>
      <c r="H8" s="140" t="n"/>
      <c r="I8" s="41" t="inlineStr">
        <is>
          <t>❌ không dùng được</t>
        </is>
      </c>
    </row>
    <row r="9" ht="68.25" customHeight="1" s="139">
      <c r="A9" s="35" t="inlineStr">
        <is>
          <t>DADA2000_orig_T2_w20s8</t>
        </is>
      </c>
      <c r="B9" s="37" t="inlineStr">
        <is>
          <t>DADA-2000 BẢN GỐC, T2 W=20 skip 8</t>
        </is>
      </c>
      <c r="C9" s="37" t="inlineStr">
        <is>
          <t>window cố định, kernel 3</t>
        </is>
      </c>
      <c r="D9" s="37" t="inlineStr">
        <is>
          <t>CORPUS HUẤN LUYỆN HIỆN TẠI tuy nhiên
sau quá trình train và eval trên DoTA thì kết
quả không tốt</t>
        </is>
      </c>
      <c r="E9" s="140" t="n"/>
      <c r="F9" s="37" t="inlineStr">
        <is>
          <t>length leak 0.5000, oracle 0.7037, giữ 95,7 % nguồn abnormal, 798 window test 2 lớp.</t>
        </is>
      </c>
      <c r="G9" s="141" t="n"/>
      <c r="H9" s="140" t="n"/>
      <c r="I9" s="41" t="inlineStr">
        <is>
          <t>✅ dùng được</t>
        </is>
      </c>
    </row>
    <row r="10" ht="42" customHeight="1" s="139">
      <c r="A10" s="35" t="inlineStr">
        <is>
          <t>DADA2000Origin</t>
        </is>
      </c>
      <c r="B10" s="37" t="inlineStr">
        <is>
          <t>DADA-2000 bản gốc thử 
trên 400 clip trước</t>
        </is>
      </c>
      <c r="C10" s="37" t="inlineStr">
        <is>
          <t>clip nguyên bản</t>
        </is>
      </c>
      <c r="D10" s="37" t="inlineStr">
        <is>
          <t>Dự tính dùng dataset này + BDD100K để train
để có cả normal và abnormal</t>
        </is>
      </c>
      <c r="E10" s="140" t="n"/>
      <c r="F10" s="37" t="inlineStr">
        <is>
          <t>Thăm dò thì thấy probe auc_macro 0.6518 ≥ ngưỡng 0.60.</t>
        </is>
      </c>
      <c r="G10" s="141" t="n"/>
      <c r="H10" s="140" t="n"/>
      <c r="I10" s="41" t="inlineStr">
        <is>
          <t>✅ dùng được nhưng có vấn đề là dataset này toàn là abnormal nên
không tiến hành train được trừ khi thêm BDD100K</t>
        </is>
      </c>
    </row>
    <row r="11" ht="15.75" customHeight="1" s="139">
      <c r="A11" s="2" t="n"/>
      <c r="B11" s="2" t="n"/>
      <c r="C11" s="2" t="n"/>
      <c r="D11" s="2" t="n"/>
      <c r="E11" s="2" t="n"/>
      <c r="F11" s="2" t="n"/>
      <c r="G11" s="2" t="n"/>
      <c r="H11" s="2" t="n"/>
      <c r="I11" s="2" t="n"/>
    </row>
    <row r="12" ht="21.75" customHeight="1" s="139">
      <c r="A12" s="19" t="inlineStr">
        <is>
          <t>2. BẢNG SO SÁNH — 2.1 QUY MÔ CORPUS</t>
        </is>
      </c>
    </row>
    <row r="13" ht="15.75" customHeight="1" s="139">
      <c r="A13" s="21" t="n"/>
    </row>
    <row r="14" ht="30" customHeight="1" s="139">
      <c r="A14" s="25" t="inlineStr">
        <is>
          <t>Chỉ số</t>
        </is>
      </c>
      <c r="B14" s="25" t="inlineStr">
        <is>
          <t>DoTA</t>
        </is>
      </c>
      <c r="C14" s="25" t="inlineStr">
        <is>
          <t>TAD</t>
        </is>
      </c>
      <c r="D14" s="25" t="inlineStr">
        <is>
          <t>DADA bản cắt gọn</t>
        </is>
      </c>
      <c r="E14" s="25" t="inlineStr">
        <is>
          <t>DADA2000 W=20 ✅</t>
        </is>
      </c>
      <c r="F14" s="54" t="inlineStr">
        <is>
          <t>Note</t>
        </is>
      </c>
      <c r="G14" s="25" t="n"/>
      <c r="H14" s="25" t="n"/>
    </row>
    <row r="15" ht="42" customHeight="1" s="139">
      <c r="A15" s="55" t="inlineStr">
        <is>
          <t>Clip/window TRAIN</t>
        </is>
      </c>
      <c r="B15" s="56" t="n">
        <v>0</v>
      </c>
      <c r="C15" s="56" t="n">
        <v>410</v>
      </c>
      <c r="D15" s="56" t="n">
        <v>1530</v>
      </c>
      <c r="E15" s="56" t="n">
        <v>4401</v>
      </c>
      <c r="F15" s="61" t="inlineStr">
        <is>
          <t>DoTA = 0 → không thể huấn luyện trên DoTA, đó là điều kiện của mọi so sánh zero-shot.</t>
        </is>
      </c>
      <c r="G15" s="56" t="n"/>
      <c r="H15" s="56" t="n"/>
    </row>
    <row r="16" ht="15.75" customHeight="1" s="139">
      <c r="A16" s="55" t="inlineStr">
        <is>
          <t xml:space="preserve">   ├ abnormal</t>
        </is>
      </c>
      <c r="B16" s="56" t="n">
        <v>0</v>
      </c>
      <c r="C16" s="56" t="n">
        <v>200</v>
      </c>
      <c r="D16" s="56" t="n">
        <v>780</v>
      </c>
      <c r="E16" s="56" t="n">
        <v>3242</v>
      </c>
      <c r="F16" s="61" t="n"/>
      <c r="G16" s="56" t="n"/>
      <c r="H16" s="56" t="n"/>
    </row>
    <row r="17" ht="55.5" customHeight="1" s="139">
      <c r="A17" s="55" t="inlineStr">
        <is>
          <t xml:space="preserve">   └ normal</t>
        </is>
      </c>
      <c r="B17" s="56" t="n">
        <v>0</v>
      </c>
      <c r="C17" s="56" t="n">
        <v>210</v>
      </c>
      <c r="D17" s="56" t="n">
        <v>750</v>
      </c>
      <c r="E17" s="56" t="n">
        <v>1159</v>
      </c>
      <c r="F17" s="61" t="inlineStr">
        <is>
          <t>DADA bản gốc không có video normal, normal
được lấy từ chính các video abnormal</t>
        </is>
      </c>
      <c r="G17" s="56" t="n"/>
      <c r="H17" s="56" t="n"/>
    </row>
    <row r="18" ht="15.75" customHeight="1" s="139">
      <c r="A18" s="55" t="inlineStr">
        <is>
          <t>Clip/window TEST</t>
        </is>
      </c>
      <c r="B18" s="56" t="n">
        <v>1397</v>
      </c>
      <c r="C18" s="56" t="n">
        <v>100</v>
      </c>
      <c r="D18" s="56" t="n">
        <v>383</v>
      </c>
      <c r="E18" s="56" t="n">
        <v>1106</v>
      </c>
      <c r="F18" s="61" t="n"/>
      <c r="G18" s="56" t="n"/>
      <c r="H18" s="56" t="n"/>
    </row>
    <row r="19" ht="15.75" customHeight="1" s="139">
      <c r="A19" s="55" t="inlineStr">
        <is>
          <t xml:space="preserve">   ├ abnormal</t>
        </is>
      </c>
      <c r="B19" s="56" t="n">
        <v>1394</v>
      </c>
      <c r="C19" s="56" t="n">
        <v>60</v>
      </c>
      <c r="D19" s="56" t="n">
        <v>191</v>
      </c>
      <c r="E19" s="56" t="n">
        <v>805</v>
      </c>
      <c r="F19" s="61" t="n"/>
      <c r="G19" s="56" t="n"/>
      <c r="H19" s="56" t="n"/>
    </row>
    <row r="20" ht="15.75" customHeight="1" s="139">
      <c r="A20" s="55" t="inlineStr">
        <is>
          <t xml:space="preserve">   └ normal</t>
        </is>
      </c>
      <c r="B20" s="56" t="n">
        <v>3</v>
      </c>
      <c r="C20" s="56" t="n">
        <v>40</v>
      </c>
      <c r="D20" s="56" t="n">
        <v>192</v>
      </c>
      <c r="E20" s="56" t="n">
        <v>301</v>
      </c>
      <c r="F20" s="61" t="n"/>
      <c r="G20" s="56" t="n"/>
      <c r="H20" s="56" t="n"/>
    </row>
    <row r="21" ht="15.75" customHeight="1" s="139">
      <c r="A21" s="55" t="inlineStr">
        <is>
          <t>Frame test (đã lấy mẫu stride 8)</t>
        </is>
      </c>
      <c r="B21" s="56" t="n">
        <v>18369</v>
      </c>
      <c r="C21" s="56" t="n">
        <v>11045</v>
      </c>
      <c r="D21" s="56" t="n">
        <v>5244</v>
      </c>
      <c r="E21" s="56" t="n">
        <v>22120</v>
      </c>
      <c r="F21" s="61" t="n"/>
      <c r="G21" s="56" t="n"/>
      <c r="H21" s="56" t="n"/>
    </row>
    <row r="22" ht="15.75" customHeight="1" s="139">
      <c r="A22" s="55" t="inlineStr">
        <is>
          <t>Frame dương (positive)</t>
        </is>
      </c>
      <c r="B22" s="56" t="n">
        <v>6086</v>
      </c>
      <c r="C22" s="56" t="n">
        <v>800</v>
      </c>
      <c r="D22" s="56" t="n">
        <v>476</v>
      </c>
      <c r="E22" s="56" t="n">
        <v>7340</v>
      </c>
      <c r="F22" s="61" t="n"/>
      <c r="G22" s="56" t="n"/>
      <c r="H22" s="56" t="n"/>
    </row>
    <row r="23" ht="15.75" customHeight="1" s="139">
      <c r="A23" s="55" t="inlineStr">
        <is>
          <t>Tỉ lệ frame positive</t>
        </is>
      </c>
      <c r="B23" s="64" t="n">
        <v>0.3313190701725733</v>
      </c>
      <c r="C23" s="64" t="n">
        <v>0.0724309642372114</v>
      </c>
      <c r="D23" s="64" t="n">
        <v>0.09077040427154844</v>
      </c>
      <c r="E23" s="64" t="n">
        <v>0.3318264014466546</v>
      </c>
      <c r="F23" s="61" t="n"/>
      <c r="G23" s="64" t="n"/>
      <c r="H23" s="64" t="n"/>
    </row>
    <row r="24" ht="51" customHeight="1" s="139">
      <c r="A24" s="55" t="inlineStr">
        <is>
          <t>Độ dài clip trung vị (frame đã lấy mẫu)</t>
        </is>
      </c>
      <c r="B24" s="65" t="n">
        <v>13</v>
      </c>
      <c r="C24" s="65" t="n">
        <v>43</v>
      </c>
      <c r="D24" s="65" t="n">
        <v>9</v>
      </c>
      <c r="E24" s="65" t="n">
        <v>20</v>
      </c>
      <c r="F24" s="61" t="inlineStr">
        <is>
          <t>Cần so sánh với kernel head score
để tránh số frame trung vị nhỏ nhỏ hơn
score head thì output sẽ nhìn cả clip</t>
        </is>
      </c>
      <c r="G24" s="65" t="n"/>
      <c r="H24" s="65" t="n"/>
    </row>
    <row r="25" ht="15.75" customHeight="1" s="139">
      <c r="A25" s="55" t="inlineStr">
        <is>
          <t>Độ dài clip gốc trung vị (trước stride)</t>
        </is>
      </c>
      <c r="B25" s="65" t="n">
        <v>99</v>
      </c>
      <c r="C25" s="65" t="n">
        <v>328.5</v>
      </c>
      <c r="D25" s="65" t="n">
        <v>68</v>
      </c>
      <c r="E25" s="65" t="n">
        <v>374</v>
      </c>
      <c r="F25" s="61" t="n"/>
      <c r="G25" s="65" t="n"/>
      <c r="H25" s="65" t="n"/>
    </row>
    <row r="26" ht="15.75" customHeight="1" s="139">
      <c r="A26" s="55" t="inlineStr">
        <is>
          <t>score_head_kernel</t>
        </is>
      </c>
      <c r="B26" s="66" t="n">
        <v>9</v>
      </c>
      <c r="C26" s="66" t="n">
        <v>9</v>
      </c>
      <c r="D26" s="66" t="n">
        <v>9</v>
      </c>
      <c r="E26" s="66" t="n">
        <v>3</v>
      </c>
      <c r="F26" s="61" t="inlineStr">
        <is>
          <t>hạ 9 → 3 vì window chỉ dài 16–20 frame.</t>
        </is>
      </c>
      <c r="G26" s="66" t="n"/>
      <c r="H26" s="66" t="n"/>
    </row>
    <row r="27" ht="55.5" customHeight="1" s="139">
      <c r="A27" s="55" t="inlineStr">
        <is>
          <t>Số bước/epoch (batch 64)</t>
        </is>
      </c>
      <c r="B27" s="56" t="n">
        <v>0</v>
      </c>
      <c r="C27" s="56" t="n">
        <v>7</v>
      </c>
      <c r="D27" s="56" t="n">
        <v>25</v>
      </c>
      <c r="E27" s="56" t="n">
        <v>102</v>
      </c>
      <c r="F27" s="61" t="n"/>
      <c r="G27" s="56" t="n"/>
      <c r="H27" s="56" t="n"/>
    </row>
    <row r="28" ht="15.75" customHeight="1" s="139">
      <c r="A28" s="2" t="n"/>
      <c r="B28" s="2" t="n"/>
      <c r="C28" s="2" t="n"/>
      <c r="D28" s="2" t="n"/>
      <c r="E28" s="2" t="n"/>
      <c r="F28" s="2" t="n"/>
      <c r="G28" s="2" t="n"/>
      <c r="H28" s="2" t="n"/>
      <c r="I28" s="2" t="n"/>
    </row>
    <row r="29" ht="21.75" customHeight="1" s="139">
      <c r="A29" s="19" t="inlineStr">
        <is>
          <t>2. BẢNG SO SÁNH CHUNG</t>
        </is>
      </c>
    </row>
    <row r="30" ht="15.75" customHeight="1" s="139">
      <c r="A30" s="21" t="n"/>
    </row>
    <row r="31" ht="30" customHeight="1" s="139">
      <c r="A31" s="25" t="inlineStr">
        <is>
          <t>Chỉ số</t>
        </is>
      </c>
      <c r="B31" s="25" t="inlineStr">
        <is>
          <t>DoTA</t>
        </is>
      </c>
      <c r="C31" s="25" t="inlineStr">
        <is>
          <t>TAD</t>
        </is>
      </c>
      <c r="D31" s="25" t="inlineStr">
        <is>
          <t>DADA bản cắt gọn</t>
        </is>
      </c>
      <c r="E31" s="25" t="inlineStr">
        <is>
          <t>T2 W=20 ✅</t>
        </is>
      </c>
      <c r="F31" s="25" t="inlineStr">
        <is>
          <t>Note</t>
        </is>
      </c>
      <c r="G31" s="25" t="n"/>
      <c r="H31" s="25" t="n"/>
      <c r="I31" s="25" t="n"/>
    </row>
    <row r="32" ht="27.75" customHeight="1" s="139">
      <c r="A32" s="55" t="inlineStr">
        <is>
          <t>Phủ kernel trung vị (tỉ lệ clip nằm trong 1 timestep)</t>
        </is>
      </c>
      <c r="B32" s="64" t="n">
        <v>0.6923076923076923</v>
      </c>
      <c r="C32" s="64" t="n">
        <v>0.2094155844155844</v>
      </c>
      <c r="D32" s="64" t="n">
        <v>1</v>
      </c>
      <c r="E32" s="64" t="n">
        <v>0.15</v>
      </c>
      <c r="F32" s="61" t="inlineStr">
        <is>
          <t>Càng thấp càng tốt. = 100 % nghĩa là score head đang phân loại cả clip</t>
        </is>
      </c>
      <c r="G32" s="64" t="n"/>
      <c r="H32" s="64" t="n"/>
      <c r="I32" s="69" t="n"/>
    </row>
    <row r="33" ht="28.5" customHeight="1" s="139">
      <c r="A33" s="55" t="inlineStr">
        <is>
          <t>Tỉ lệ clip nằm GỌN trong kernel</t>
        </is>
      </c>
      <c r="B33" s="64" t="n">
        <v>0.1195418754473873</v>
      </c>
      <c r="C33" s="64" t="n">
        <v>0.06</v>
      </c>
      <c r="D33" s="64" t="n">
        <v>0.5535248041775457</v>
      </c>
      <c r="E33" s="64" t="n">
        <v>0</v>
      </c>
      <c r="F33" s="61" t="n"/>
      <c r="G33" s="64" t="n"/>
      <c r="H33" s="64" t="n"/>
      <c r="I33" s="69" t="n"/>
    </row>
    <row r="34" ht="39" customHeight="1" s="139">
      <c r="A34" s="55" t="inlineStr">
        <is>
          <t>Tỉ lệ clip bị MIL top-k tụt về k = 1</t>
        </is>
      </c>
      <c r="B34" s="64" t="n">
        <v>0.9985683607730852</v>
      </c>
      <c r="C34" s="64" t="n">
        <v>0.35</v>
      </c>
      <c r="D34" s="64" t="n">
        <v>0.9033942558746736</v>
      </c>
      <c r="E34" s="64" t="n">
        <v>1</v>
      </c>
      <c r="F34" s="61" t="inlineStr">
        <is>
          <t>TopK PCT = 16 (6.25%)</t>
        </is>
      </c>
      <c r="G34" s="64" t="n"/>
      <c r="H34" s="64" t="n"/>
      <c r="I34" s="69" t="n"/>
    </row>
    <row r="35" ht="45.75" customHeight="1" s="139">
      <c r="A35" s="55" t="inlineStr">
        <is>
          <t>Clip abnormal mất sạch frame dương (vanished)</t>
        </is>
      </c>
      <c r="B35" s="66" t="n">
        <v>3</v>
      </c>
      <c r="C35" s="66" t="n">
        <v>0</v>
      </c>
      <c r="D35" s="66" t="n">
        <v>4</v>
      </c>
      <c r="E35" s="66" t="n">
        <v>2</v>
      </c>
      <c r="F35" s="61" t="inlineStr">
        <is>
          <t>Phải loại các clip này lúc chấm điểm AUC</t>
        </is>
      </c>
      <c r="G35" s="66" t="n"/>
      <c r="H35" s="66" t="n"/>
      <c r="I35" s="69" t="n"/>
    </row>
    <row r="36" ht="34.5" customHeight="1" s="139">
      <c r="A36" s="55" t="inlineStr">
        <is>
          <t>Clip 2 lớp abnormal và normal</t>
        </is>
      </c>
      <c r="B36" s="56" t="n">
        <v>1392</v>
      </c>
      <c r="C36" s="56" t="n">
        <v>60</v>
      </c>
      <c r="D36" s="56" t="n">
        <v>190</v>
      </c>
      <c r="E36" s="56" t="n">
        <v>798</v>
      </c>
      <c r="F36" s="61" t="inlineStr">
        <is>
          <t>auc_macro chỉ trung bình trên các clip có cả frame dương lẫn âm.</t>
        </is>
      </c>
      <c r="G36" s="56" t="n"/>
      <c r="H36" s="56" t="n"/>
      <c r="I36" s="69" t="n"/>
    </row>
    <row r="37" ht="38.25" customHeight="1" s="139">
      <c r="A37" s="55" t="inlineStr">
        <is>
          <t>Tỉ lệ frame nằm trong clip TOÀN NORMAL</t>
        </is>
      </c>
      <c r="B37" s="64" t="n">
        <v>0.002286460885187</v>
      </c>
      <c r="C37" s="64" t="n">
        <v>0.7840651878678135</v>
      </c>
      <c r="D37" s="64" t="n">
        <v>0.7429443173150267</v>
      </c>
      <c r="E37" s="64" t="n">
        <v>0.2721518987341772</v>
      </c>
      <c r="F37" s="61" t="inlineStr">
        <is>
          <t>Càng cao thì micro AUC càng bị chi phối bởi việc xếp hạng giữa các clip.</t>
        </is>
      </c>
      <c r="G37" s="64" t="n"/>
      <c r="H37" s="64" t="n"/>
      <c r="I37" s="69" t="n"/>
    </row>
    <row r="38" ht="28.5" customHeight="1" s="139">
      <c r="A38" s="70" t="inlineStr">
        <is>
          <t>★ CLIP ORACLE — micro AUC khi chỉ xếp hạng clip, không định vị gì</t>
        </is>
      </c>
      <c r="B38" s="72" t="n">
        <v>0.5017096800455915</v>
      </c>
      <c r="C38" s="73" t="n">
        <v>0.9226451927769644</v>
      </c>
      <c r="D38" s="73" t="n">
        <v>0.9085570469798658</v>
      </c>
      <c r="E38" s="72" t="n">
        <v>0.7036535859269283</v>
      </c>
      <c r="F38" s="61" t="n"/>
      <c r="G38" s="74" t="n"/>
      <c r="H38" s="72" t="n"/>
      <c r="I38" s="69" t="n"/>
    </row>
    <row r="39" ht="24.75" customHeight="1" s="139">
      <c r="A39" s="70" t="inlineStr">
        <is>
          <t>★ RÒ RỈ ĐỘ DÀI — micro AUC chỉ đọc số frame của clip</t>
        </is>
      </c>
      <c r="B39" s="72" t="n">
        <v>0.499343696950403</v>
      </c>
      <c r="C39" s="73" t="n">
        <v>0.8967914836505612</v>
      </c>
      <c r="D39" s="73" t="n">
        <v>0.8654149159663865</v>
      </c>
      <c r="E39" s="72" t="n">
        <v>0.5</v>
      </c>
      <c r="F39" s="61" t="inlineStr">
        <is>
          <t>Do đã được cắt thành các windown bằng nhau 20 frames</t>
        </is>
      </c>
      <c r="G39" s="72" t="n"/>
      <c r="H39" s="72" t="n"/>
      <c r="I39" s="69" t="n"/>
    </row>
    <row r="40" ht="15.75" customHeight="1" s="139">
      <c r="A40" s="55" t="inlineStr">
        <is>
          <t xml:space="preserve">   └ rò rỉ ở mức clip (clip-level AUC)</t>
        </is>
      </c>
      <c r="B40" s="75" t="n">
        <v>0.527977044476327</v>
      </c>
      <c r="C40" s="75" t="n">
        <v>0.6939583333333333</v>
      </c>
      <c r="D40" s="75" t="n">
        <v>0.8104957460732984</v>
      </c>
      <c r="E40" s="75" t="n">
        <v>0.5</v>
      </c>
      <c r="F40" s="61" t="n"/>
      <c r="G40" s="75" t="n"/>
      <c r="H40" s="75" t="n"/>
      <c r="I40" s="69" t="n"/>
    </row>
    <row r="41" ht="51.75" customHeight="1" s="139">
      <c r="A41" s="55" t="inlineStr">
        <is>
          <t xml:space="preserve">   └ hướng rò rỉ</t>
        </is>
      </c>
      <c r="B41" s="76" t="inlineStr">
        <is>
          <t>clip NGẮN = abnormal</t>
        </is>
      </c>
      <c r="C41" s="76" t="inlineStr">
        <is>
          <t>clip NGẮN = abnormal</t>
        </is>
      </c>
      <c r="D41" s="76" t="inlineStr">
        <is>
          <t>clip NGẮN = abnormal</t>
        </is>
      </c>
      <c r="E41" s="76" t="n"/>
      <c r="F41" s="61" t="n"/>
      <c r="G41" s="76" t="n"/>
      <c r="H41" s="76" t="n"/>
      <c r="I41" s="69" t="n"/>
    </row>
    <row r="42" ht="44.25" customHeight="1" s="139">
      <c r="A42" s="55" t="inlineStr">
        <is>
          <t>Tỉ lệ cặp frame (+/−) nằm khác clip</t>
        </is>
      </c>
      <c r="B42" s="77" t="n">
        <v>0.9993339383194056</v>
      </c>
      <c r="C42" s="77" t="n">
        <v>0.9969152025378233</v>
      </c>
      <c r="D42" s="77" t="n">
        <v>0.9989954035305397</v>
      </c>
      <c r="E42" s="77" t="n">
        <v>0.9993999365812111</v>
      </c>
      <c r="F42" s="61" t="inlineStr">
        <is>
          <t>Phần còn lại (1 − số này) mới là phần mà việc định vị có thể thắng được.</t>
        </is>
      </c>
      <c r="G42" s="77" t="n"/>
      <c r="H42" s="77" t="n"/>
      <c r="I42" s="69" t="n"/>
    </row>
    <row r="43" ht="42" customHeight="1" s="139">
      <c r="A43" s="55" t="inlineStr">
        <is>
          <t>--score-norm auto quy về</t>
        </is>
      </c>
      <c r="B43" s="76" t="inlineStr">
        <is>
          <t>minmax</t>
        </is>
      </c>
      <c r="C43" s="76" t="inlineStr">
        <is>
          <t>none</t>
        </is>
      </c>
      <c r="D43" s="76" t="inlineStr">
        <is>
          <t>none</t>
        </is>
      </c>
      <c r="E43" s="76" t="inlineStr">
        <is>
          <t>none</t>
        </is>
      </c>
      <c r="F43" s="61" t="inlineStr">
        <is>
          <t>minmax cho corpus gần như toàn abnormal (DoTA), none cho corpus có nhiều clip normal</t>
        </is>
      </c>
      <c r="G43" s="76" t="n"/>
      <c r="H43" s="76" t="n"/>
      <c r="I43" s="69" t="n"/>
    </row>
    <row r="44" ht="15.75" customHeight="1" s="139">
      <c r="A44" s="2" t="n"/>
      <c r="B44" s="2" t="n"/>
      <c r="C44" s="2" t="n"/>
      <c r="D44" s="2" t="n"/>
      <c r="E44" s="2" t="n"/>
      <c r="F44" s="2" t="n"/>
      <c r="G44" s="2" t="n"/>
      <c r="H44" s="2" t="n"/>
      <c r="I44" s="2" t="n"/>
    </row>
    <row r="45" ht="21.75" customHeight="1" s="139">
      <c r="A45" s="19" t="inlineStr">
        <is>
          <t>2. BẢNG SO SÁNH — 2.3 ĐẶC TRƯNG CLIP FROZEN VÀ THỬ THĂM DÒ LINEAR CLASSIFIER</t>
        </is>
      </c>
    </row>
    <row r="46" ht="15.75" customHeight="1" s="139">
      <c r="A46" s="21" t="n"/>
    </row>
    <row r="47" ht="30" customHeight="1" s="139">
      <c r="A47" s="25" t="inlineStr">
        <is>
          <t>Chỉ số</t>
        </is>
      </c>
      <c r="B47" s="25" t="inlineStr">
        <is>
          <t>DoTA</t>
        </is>
      </c>
      <c r="C47" s="25" t="inlineStr">
        <is>
          <t>TAD</t>
        </is>
      </c>
      <c r="D47" s="25" t="inlineStr">
        <is>
          <t>DADA bản cắt gọn</t>
        </is>
      </c>
      <c r="E47" s="25" t="inlineStr">
        <is>
          <t>DADA2000 W=20 ✅</t>
        </is>
      </c>
      <c r="F47" s="78" t="inlineStr">
        <is>
          <t>Đọc thế nào / ngưỡng</t>
        </is>
      </c>
      <c r="G47" s="25" t="n"/>
      <c r="H47" s="25" t="inlineStr">
        <is>
          <t>T2 W=20 ✅</t>
        </is>
      </c>
      <c r="I47" s="25" t="inlineStr">
        <is>
          <t>Đọc thế nào / ngưỡng</t>
        </is>
      </c>
    </row>
    <row r="48" ht="30.75" customHeight="1" s="139">
      <c r="A48" s="70" t="inlineStr">
        <is>
          <t>★ Frame linear probe — auc_macro</t>
        </is>
      </c>
      <c r="B48" s="72" t="n">
        <v>0.6708338006696107</v>
      </c>
      <c r="C48" s="79" t="inlineStr">
        <is>
          <t>—</t>
        </is>
      </c>
      <c r="D48" s="73" t="n">
        <v>0.5227626072757653</v>
      </c>
      <c r="E48" s="80" t="n">
        <v>0.5983250716912536</v>
      </c>
      <c r="F48" s="61" t="inlineStr">
        <is>
          <t>CLIP feature của DoTA có tính representation tốt nhất</t>
        </is>
      </c>
      <c r="G48" s="74" t="n"/>
      <c r="H48" s="80" t="n">
        <v>0.5983250716912536</v>
      </c>
      <c r="I48" s="69" t="inlineStr">
        <is>
          <t>Cross-validation gom nhóm theo clip. DoTA 0.6708 là mốc tham chiếu của đề tài.</t>
        </is>
      </c>
    </row>
    <row r="49" ht="30.75" customHeight="1" s="139">
      <c r="A49" s="55" t="inlineStr">
        <is>
          <t xml:space="preserve">   └ frame probe — auc_micro</t>
        </is>
      </c>
      <c r="B49" s="75" t="n">
        <v>0.624888404469584</v>
      </c>
      <c r="C49" s="76" t="inlineStr">
        <is>
          <t>—</t>
        </is>
      </c>
      <c r="D49" s="75" t="n">
        <v>0.5428768822965427</v>
      </c>
      <c r="E49" s="75" t="n">
        <v>0.5909862359105206</v>
      </c>
      <c r="F49" s="61" t="n"/>
      <c r="G49" s="75" t="n"/>
      <c r="H49" s="75" t="n">
        <v>0.5909862359105206</v>
      </c>
      <c r="I49" s="69" t="n"/>
    </row>
    <row r="50" ht="66" customHeight="1" s="139">
      <c r="A50" s="55" t="inlineStr">
        <is>
          <t>Clip linear probe — AUC (average pooling)</t>
        </is>
      </c>
      <c r="B50" s="75" t="n">
        <v>0.2175992348158776</v>
      </c>
      <c r="C50" s="76" t="inlineStr">
        <is>
          <t>—</t>
        </is>
      </c>
      <c r="D50" s="75" t="n">
        <v>0.6799465532286213</v>
      </c>
      <c r="E50" s="75" t="n">
        <v>0.5550979137863437</v>
      </c>
      <c r="F50" s="61" t="inlineStr">
        <is>
          <t>Do các clip của DoTA đều là abnormal nên khả năng phân biệt ở mức clip rất thấp. Về DADA cắt gọn thì một frame không có nhiều tín hiệu nhưng khi gộp nhiều frame lại thành clip thì tín hiệu nhận biết bất thường tốt hơn</t>
        </is>
      </c>
      <c r="G50" s="75" t="n"/>
      <c r="H50" s="75" t="n">
        <v>0.5550979137863437</v>
      </c>
      <c r="I50" s="69" t="inlineStr">
        <is>
          <t>Trên DADA bản gốc nguyên clip, probe này KHÔNG chạy được vì không có clip normal — đó là ưu điểm, không phải lỗi.</t>
        </is>
      </c>
    </row>
    <row r="51" ht="45.75" customHeight="1" s="139">
      <c r="A51" s="55" t="inlineStr">
        <is>
          <t>Tự tương quan thời gian (cosine lag 1)</t>
        </is>
      </c>
      <c r="B51" s="82" t="n">
        <v>0.9654230054625076</v>
      </c>
      <c r="C51" s="76" t="inlineStr">
        <is>
          <t>—</t>
        </is>
      </c>
      <c r="D51" s="82" t="n">
        <v>0.9630527720974198</v>
      </c>
      <c r="E51" s="82" t="n">
        <v>0.9682180137165473</v>
      </c>
      <c r="F51" s="61" t="inlineStr">
        <is>
          <t>≈ 0.96–0.99: hai frame liên tiếp gần như trùng nhau</t>
        </is>
      </c>
      <c r="G51" s="82" t="n"/>
      <c r="H51" s="82" t="n">
        <v>0.9682180137165473</v>
      </c>
      <c r="I51" s="69" t="inlineStr">
        <is>
          <t>≈ 0.96–0.99: hai frame liên tiếp gần như trùng nhau → cỡ mẫu hữu hiệu thấp hơn số frame rất nhiều.</t>
        </is>
      </c>
    </row>
    <row r="52" ht="41.25" customHeight="1" s="139">
      <c r="A52" s="55" t="inlineStr">
        <is>
          <t>Phương sai giữa-clip / trong-clip (feature)</t>
        </is>
      </c>
      <c r="B52" s="85" t="n">
        <v>3.18735289749266</v>
      </c>
      <c r="C52" s="76" t="inlineStr">
        <is>
          <t>—</t>
        </is>
      </c>
      <c r="D52" s="85" t="n">
        <v>2.716919853680399</v>
      </c>
      <c r="E52" s="85" t="n">
        <v>2.773693409088293</v>
      </c>
      <c r="F52" s="61" t="inlineStr">
        <is>
          <t>Càng cao thì embedding càng mã hoá về mặt scene thay vì thông tin về các event xảy ra trong từng clip</t>
        </is>
      </c>
      <c r="G52" s="85" t="n"/>
      <c r="H52" s="85" t="n">
        <v>2.773693409088293</v>
      </c>
      <c r="I52" s="69" t="inlineStr">
        <is>
          <t>Càng cao thì embedding càng mã hoá 'cảnh nào' hơn là 'đang xảy ra chuyện gì'.</t>
        </is>
      </c>
    </row>
    <row r="53" ht="15.75" customHeight="1" s="139">
      <c r="A53" s="55" t="inlineStr">
        <is>
          <t>Số chiều giữ 90 % phương sai (/512)</t>
        </is>
      </c>
      <c r="B53" s="66" t="n">
        <v>419</v>
      </c>
      <c r="C53" s="76" t="inlineStr">
        <is>
          <t>—</t>
        </is>
      </c>
      <c r="D53" s="66" t="n">
        <v>419</v>
      </c>
      <c r="E53" s="66" t="n">
        <v>420</v>
      </c>
      <c r="F53" s="61" t="n"/>
      <c r="G53" s="66" t="n"/>
      <c r="H53" s="66" t="n">
        <v>420</v>
      </c>
      <c r="I53" s="69" t="inlineStr">
        <is>
          <t>~420/512 → không phải không gian con thoái hoá.</t>
        </is>
      </c>
    </row>
    <row r="54" ht="15.75" customHeight="1" s="139">
      <c r="A54" s="2" t="n"/>
      <c r="B54" s="2" t="n"/>
      <c r="C54" s="2" t="n"/>
      <c r="D54" s="2" t="n"/>
      <c r="E54" s="2" t="n"/>
      <c r="F54" s="2" t="n"/>
      <c r="G54" s="2" t="n"/>
      <c r="H54" s="2" t="n"/>
      <c r="I54" s="2" t="n"/>
    </row>
    <row r="55" ht="21.75" customHeight="1" s="139">
      <c r="A55" s="19" t="inlineStr">
        <is>
          <t>3. WARNINGS</t>
        </is>
      </c>
    </row>
    <row r="56" ht="15.75" customHeight="1" s="139">
      <c r="A56" s="21" t="n"/>
    </row>
    <row r="57" ht="30" customHeight="1" s="139">
      <c r="A57" s="25" t="inlineStr">
        <is>
          <t>Corpus</t>
        </is>
      </c>
      <c r="B57" s="25" t="inlineStr">
        <is>
          <t>Mức</t>
        </is>
      </c>
      <c r="C57" s="25" t="inlineStr">
        <is>
          <t>Phát hiện &amp; số đo</t>
        </is>
      </c>
      <c r="D57" s="141" t="n"/>
      <c r="E57" s="141" t="n"/>
      <c r="F57" s="140" t="n"/>
      <c r="G57" s="25" t="inlineStr">
        <is>
          <t>Phải làm gì</t>
        </is>
      </c>
      <c r="H57" s="141" t="n"/>
      <c r="I57" s="140" t="n"/>
    </row>
    <row r="58" ht="39.75" customHeight="1" s="139">
      <c r="A58" s="87" t="inlineStr">
        <is>
          <t>DoTA</t>
        </is>
      </c>
      <c r="B58" s="88" t="inlineStr">
        <is>
          <t>HIGH</t>
        </is>
      </c>
      <c r="C58" s="142" t="inlineStr">
        <is>
          <t>MIL top-k trở thành max pooling — 99.9% clip rơi về k = 1 ở mil_topk_pct = 16: mỗi clip chỉ 1 frame được giám sát mỗi bước.</t>
        </is>
      </c>
      <c r="D58" s="141" t="n"/>
      <c r="E58" s="141" t="n"/>
      <c r="F58" s="140" t="n"/>
      <c r="G58" s="142" t="inlineStr">
        <is>
          <t>Hạ loss.mil_topk_pct, hoặc chấp nhận rằng giám sát ở đây là mức clip và ngừng đọc kết luận frame-level từ nó.</t>
        </is>
      </c>
      <c r="H58" s="141" t="n"/>
      <c r="I58" s="140" t="n"/>
    </row>
    <row r="59" ht="39.75" customHeight="1" s="139">
      <c r="A59" s="87" t="inlineStr">
        <is>
          <t>DoTA</t>
        </is>
      </c>
      <c r="B59" s="88" t="inlineStr">
        <is>
          <t>HIGH</t>
        </is>
      </c>
      <c r="C59" s="142" t="inlineStr">
        <is>
          <t>Có 3 clip là abnormal tuy nhiên sau khi skip frame thì không còn positive frame</t>
        </is>
      </c>
      <c r="D59" s="141" t="n"/>
      <c r="E59" s="141" t="n"/>
      <c r="F59" s="140" t="n"/>
      <c r="G59" s="142" t="inlineStr">
        <is>
          <t>Loại các clip này lúc chấm điểm. KHÔNG 'sửa' bằng --strict: cờ đó raise lỗi chứ không sửa dữ liệu.</t>
        </is>
      </c>
      <c r="H59" s="141" t="n"/>
      <c r="I59" s="140" t="n"/>
    </row>
    <row r="60" ht="39.75" customHeight="1" s="139">
      <c r="A60" s="87" t="inlineStr">
        <is>
          <t>DoTA</t>
        </is>
      </c>
      <c r="B60" s="91" t="inlineStr">
        <is>
          <t>INFO</t>
        </is>
      </c>
      <c r="C60" s="142" t="inlineStr">
        <is>
          <t>Đặc trưng CÓ mang tín hiện frame-level, linear probe có giám sát đạt auc_macro 0.6708</t>
        </is>
      </c>
      <c r="D60" s="141" t="n"/>
      <c r="E60" s="141" t="n"/>
      <c r="F60" s="140" t="n"/>
      <c r="G60" s="142" t="inlineStr">
        <is>
          <t>Thiếu hụt nằm ở GIÁM SÁT chứ không ở biểu diễn. Head tốt hơn hoặc nhãn dày hơn có thể lấp được; không cần đổi backbone.</t>
        </is>
      </c>
      <c r="H60" s="141" t="n"/>
      <c r="I60" s="140" t="n"/>
    </row>
    <row r="61" ht="39.75" customHeight="1" s="139">
      <c r="A61" s="87" t="inlineStr">
        <is>
          <t>TAD</t>
        </is>
      </c>
      <c r="B61" s="95" t="inlineStr">
        <is>
          <t>CRITICAL</t>
        </is>
      </c>
      <c r="C61" s="142" t="inlineStr">
        <is>
          <t>Micro AUC ở đây chủ yếu là phân loại clip; 99.7% số cặp frame (+/−) nằm khác clip.</t>
        </is>
      </c>
      <c r="D61" s="141" t="n"/>
      <c r="E61" s="141" t="n"/>
      <c r="F61" s="140" t="n"/>
      <c r="G61" s="142" t="inlineStr">
        <is>
          <t>Lấy auc_macro làm số chính, và luôn in oracle bên cạnh mọi số micro. Không bao giờ đặt micro của corpus này cạnh một số frame-level đã công bố.</t>
        </is>
      </c>
      <c r="H61" s="141" t="n"/>
      <c r="I61" s="140" t="n"/>
    </row>
    <row r="62" ht="39.75" customHeight="1" s="139">
      <c r="A62" s="87" t="inlineStr">
        <is>
          <t>TAD</t>
        </is>
      </c>
      <c r="B62" s="95" t="inlineStr">
        <is>
          <t>CRITICAL</t>
        </is>
      </c>
      <c r="C62" s="142" t="inlineStr">
        <is>
          <t>Chỉ riêng độ dài clip đã đoán được nhãn, chỉ đọc số frame của clip đạt clip-level AUC 0.6940 và micro AUC 0.8968 — clip NGẮN chính là clip abnormal. 21 clip normal (8,049 frame) nằm hoàn toàn ngoài dải độ dài của clip abnormal.</t>
        </is>
      </c>
      <c r="D62" s="141" t="n"/>
      <c r="E62" s="141" t="n"/>
      <c r="F62" s="140" t="n"/>
      <c r="G62" s="142" t="inlineStr">
        <is>
          <t>Dựng lại corpus thành window cố định với vị trí bất thường ngẫu nhiên. Trước khi làm được, coi mọi arm không vượt baseline này là CHƯA ĐƯỢC ĐO.</t>
        </is>
      </c>
      <c r="H62" s="141" t="n"/>
      <c r="I62" s="140" t="n"/>
    </row>
    <row r="63" ht="39.75" customHeight="1" s="139">
      <c r="A63" s="87" t="inlineStr">
        <is>
          <t>DADA bản cắt gọn</t>
        </is>
      </c>
      <c r="B63" s="95" t="inlineStr">
        <is>
          <t>CRITICAL</t>
        </is>
      </c>
      <c r="C63" s="142" t="inlineStr">
        <is>
          <t>Score head trùm cả clip; 55.4% clip test có T ≤ kernel 9 (trung vị T = 9); 24.3% số frame nằm trong nhóm đó.</t>
        </is>
      </c>
      <c r="D63" s="141" t="n"/>
      <c r="E63" s="141" t="n"/>
      <c r="F63" s="140" t="n"/>
      <c r="G63" s="142" t="inlineStr">
        <is>
          <t>Hạ model.score_head_kernel (thử 3) hoặc hạ frame_stride để T ≫ kernel. Cả hai đều làm mọi cache cũ hết hiệu lực (C2).</t>
        </is>
      </c>
      <c r="H63" s="141" t="n"/>
      <c r="I63" s="140" t="n"/>
    </row>
    <row r="64" ht="39.75" customHeight="1" s="139">
      <c r="A64" s="87" t="inlineStr">
        <is>
          <t>DADA bản cắt gọn</t>
        </is>
      </c>
      <c r="B64" s="88" t="inlineStr">
        <is>
          <t>HIGH</t>
        </is>
      </c>
      <c r="C64" s="142" t="inlineStr">
        <is>
          <t>MIL top-k trở thành max pooling thuần — 90.3% clip rơi về k = 1 ở mil_topk_pct = 16: mỗi clip chỉ 1 frame được giám sát mỗi bước.</t>
        </is>
      </c>
      <c r="D64" s="141" t="n"/>
      <c r="E64" s="141" t="n"/>
      <c r="F64" s="140" t="n"/>
      <c r="G64" s="142" t="inlineStr">
        <is>
          <t>Hạ loss.mil_topk_pct, hoặc chấp nhận rằng giám sát ở đây là mức clip và ngừng đọc kết luận frame-level từ nó.</t>
        </is>
      </c>
      <c r="H64" s="141" t="n"/>
      <c r="I64" s="140" t="n"/>
    </row>
    <row r="65" ht="39.75" customHeight="1" s="139">
      <c r="A65" s="87" t="inlineStr">
        <is>
          <t>DADA bản cắt gọn</t>
        </is>
      </c>
      <c r="B65" s="88" t="inlineStr">
        <is>
          <t>HIGH</t>
        </is>
      </c>
      <c r="C65" s="142" t="inlineStr">
        <is>
          <t>Clip abnormal có vector nhãn toàn 0 — 4 clip khai là abnormal trong meta.json nhưng không còn frame dương nào; mọi metric đang tính chúng là normal.</t>
        </is>
      </c>
      <c r="D65" s="141" t="n"/>
      <c r="E65" s="141" t="n"/>
      <c r="F65" s="140" t="n"/>
      <c r="G65" s="142" t="inlineStr">
        <is>
          <t>Loại các clip này lúc chấm điểm. KHÔNG 'sửa' bằng --strict: cờ đó raise lỗi chứ không sửa dữ liệu.</t>
        </is>
      </c>
      <c r="H65" s="141" t="n"/>
      <c r="I65" s="140" t="n"/>
    </row>
    <row r="66" ht="39.75" customHeight="1" s="139">
      <c r="A66" s="87" t="inlineStr">
        <is>
          <t>DADA bản cắt gọn</t>
        </is>
      </c>
      <c r="B66" s="95" t="inlineStr">
        <is>
          <t>CRITICAL</t>
        </is>
      </c>
      <c r="C66" s="142" t="inlineStr">
        <is>
          <t>Micro AUC ở đây chủ yếu là phân loại clip (C12) — Oracle điểm-hằng-số-theo-clip đạt micro AUC 0.9086 mà không định vị gì; 99.9% số cặp frame (+/−) nằm khác clip.</t>
        </is>
      </c>
      <c r="D66" s="141" t="n"/>
      <c r="E66" s="141" t="n"/>
      <c r="F66" s="140" t="n"/>
      <c r="G66" s="142" t="inlineStr">
        <is>
          <t>Lấy auc_macro làm số chính, và luôn in oracle bên cạnh mọi số micro. Không bao giờ đặt micro của corpus này cạnh một số frame-level đã công bố.</t>
        </is>
      </c>
      <c r="H66" s="141" t="n"/>
      <c r="I66" s="140" t="n"/>
    </row>
    <row r="67" ht="39.75" customHeight="1" s="139">
      <c r="A67" s="87" t="inlineStr">
        <is>
          <t>DADA bản cắt gọn</t>
        </is>
      </c>
      <c r="B67" s="95" t="inlineStr">
        <is>
          <t>CRITICAL</t>
        </is>
      </c>
      <c r="C67" s="142" t="inlineStr">
        <is>
          <t>Chỉ riêng độ dài clip đã đoán được nhãn (C28) — Bộ dò chỉ đọc số frame của clip đạt clip-level AUC 0.8105 và micro AUC 0.8654 — clip NGẮN chính là clip abnormal. 107 clip normal (3,157 frame) nằm hoàn toàn ngoài dải độ dài của clip abnormal.</t>
        </is>
      </c>
      <c r="D67" s="141" t="n"/>
      <c r="E67" s="141" t="n"/>
      <c r="F67" s="140" t="n"/>
      <c r="G67" s="142" t="inlineStr">
        <is>
          <t>Dựng lại corpus thành window cố định với vị trí bất thường ngẫu nhiên. Trước khi làm được, coi mọi arm không vượt baseline này là CHƯA ĐƯỢC ĐO.</t>
        </is>
      </c>
      <c r="H67" s="141" t="n"/>
      <c r="I67" s="140" t="n"/>
    </row>
    <row r="68" ht="39.75" customHeight="1" s="139">
      <c r="A68" s="87" t="inlineStr">
        <is>
          <t>DADA bản cắt gọn</t>
        </is>
      </c>
      <c r="B68" s="95" t="inlineStr">
        <is>
          <t>CRITICAL</t>
        </is>
      </c>
      <c r="C68" s="142" t="inlineStr">
        <is>
          <t>Đặc trưng không mang tín hiệu mức frame — Ngay cả linear probe có giám sát cũng chỉ đạt auc_macro 0.5228, trong khi probe mức clip đạt 0.6799.</t>
        </is>
      </c>
      <c r="D68" s="141" t="n"/>
      <c r="E68" s="141" t="n"/>
      <c r="F68" s="140" t="n"/>
      <c r="G68" s="142" t="inlineStr">
        <is>
          <t>Không head nào trên đặc trưng này định vị được; cần backbone khác hoặc stride mịn hơn — KHÔNG phải thêm một biến thể KIP nữa.</t>
        </is>
      </c>
      <c r="H68" s="141" t="n"/>
      <c r="I68" s="140" t="n"/>
    </row>
    <row r="69" ht="39.75" customHeight="1" s="139">
      <c r="A69" s="87" t="inlineStr">
        <is>
          <t>DADA2000 W=20 ✅</t>
        </is>
      </c>
      <c r="B69" s="88" t="inlineStr">
        <is>
          <t>HIGH</t>
        </is>
      </c>
      <c r="C69" s="142" t="inlineStr">
        <is>
          <t>MIL top-k thoái hoá thành max thuần — 100.0% clip rơi về k = 1 ở mil_topk_pct = 16: mỗi clip chỉ 1 frame được giám sát mỗi bước.</t>
        </is>
      </c>
      <c r="D69" s="141" t="n"/>
      <c r="E69" s="141" t="n"/>
      <c r="F69" s="140" t="n"/>
      <c r="G69" s="142" t="inlineStr">
        <is>
          <t>Hạ loss.mil_topk_pct, hoặc chấp nhận rằng giám sát ở đây là mức clip và ngừng đọc kết luận frame-level từ nó.</t>
        </is>
      </c>
      <c r="H69" s="141" t="n"/>
      <c r="I69" s="140" t="n"/>
    </row>
    <row r="70" ht="39.75" customHeight="1" s="139">
      <c r="A70" s="87" t="inlineStr">
        <is>
          <t>DADA2000 W=20 ✅</t>
        </is>
      </c>
      <c r="B70" s="88" t="inlineStr">
        <is>
          <t>HIGH</t>
        </is>
      </c>
      <c r="C70" s="142" t="inlineStr">
        <is>
          <t>Clip nguồn abnormal có vector nhãn toàn 0 — 2 clip nguồn khai là abnormal nhưng không còn frame dương nào ở bất kỳ window nào.</t>
        </is>
      </c>
      <c r="D70" s="141" t="n"/>
      <c r="E70" s="141" t="n"/>
      <c r="F70" s="140" t="n"/>
      <c r="G70" s="142" t="inlineStr">
        <is>
          <t>Loại các clip nguồn này lúc chấm điểm. KHÔNG dùng --strict.</t>
        </is>
      </c>
      <c r="H70" s="141" t="n"/>
      <c r="I70" s="140" t="n"/>
    </row>
    <row r="71" ht="39.75" customHeight="1" s="139">
      <c r="A71" s="87" t="inlineStr">
        <is>
          <t>DADA2000 W=20 ✅</t>
        </is>
      </c>
      <c r="B71" s="95" t="inlineStr">
        <is>
          <t>CRITICAL</t>
        </is>
      </c>
      <c r="C71" s="142" t="inlineStr">
        <is>
          <t>Đặc trưng không mang tín hiệu mức frame — Ngay cả linear probe có giám sát cũng chỉ đạt auc_macro 0.5983, trong khi probe mức clip đạt 0.5551.</t>
        </is>
      </c>
      <c r="D71" s="141" t="n"/>
      <c r="E71" s="141" t="n"/>
      <c r="F71" s="140" t="n"/>
      <c r="G71" s="142" t="inlineStr">
        <is>
          <t>Không head nào trên đặc trưng này định vị được; cần backbone khác hoặc stride mịn hơn — KHÔNG phải thêm một biến thể KIP nữa.</t>
        </is>
      </c>
      <c r="H71" s="141" t="n"/>
      <c r="I71" s="140" t="n"/>
    </row>
    <row r="72" ht="15.75" customHeight="1" s="139">
      <c r="A72" s="2" t="n"/>
      <c r="B72" s="2" t="n"/>
      <c r="C72" s="2" t="n"/>
      <c r="D72" s="2" t="n"/>
      <c r="E72" s="2" t="n"/>
      <c r="F72" s="2" t="n"/>
      <c r="G72" s="2" t="n"/>
      <c r="H72" s="2" t="n"/>
      <c r="I72" s="2" t="n"/>
    </row>
    <row r="73" ht="21.75" customHeight="1" s="139">
      <c r="A73" s="19" t="inlineStr">
        <is>
          <t>4. CÁC CỔNG KIỂM TRA (GATES) TRÊN DADA-2000 BẢN GỐC</t>
        </is>
      </c>
    </row>
    <row r="74" ht="15.75" customHeight="1" s="139">
      <c r="A74" s="21" t="n"/>
    </row>
    <row r="75" ht="15.75" customHeight="1" s="139">
      <c r="A75" s="143" t="inlineStr">
        <is>
          <t>4.1 — Chi tiết Gate W: 6 tiêu chí × 2 hình học (nguồn: run_manifest.json của hai lần chạy T2)</t>
        </is>
      </c>
      <c r="B75" s="141" t="n"/>
      <c r="C75" s="141" t="n"/>
      <c r="D75" s="141" t="n"/>
      <c r="E75" s="141" t="n"/>
      <c r="F75" s="141" t="n"/>
      <c r="G75" s="141" t="n"/>
      <c r="H75" s="141" t="n"/>
      <c r="I75" s="140" t="n"/>
    </row>
    <row r="76" ht="30" customHeight="1" s="139">
      <c r="A76" s="25" t="inlineStr">
        <is>
          <t>Tiêu chí</t>
        </is>
      </c>
      <c r="B76" s="25" t="inlineStr">
        <is>
          <t>Ngưỡng</t>
        </is>
      </c>
      <c r="C76" s="25" t="inlineStr">
        <is>
          <t>W=16 hop 8</t>
        </is>
      </c>
      <c r="D76" s="25" t="inlineStr">
        <is>
          <t>W=20 hop 8 ✅</t>
        </is>
      </c>
      <c r="E76" s="25" t="inlineStr">
        <is>
          <t>Diễn giải</t>
        </is>
      </c>
      <c r="F76" s="141" t="n"/>
      <c r="G76" s="141" t="n"/>
      <c r="H76" s="140" t="n"/>
      <c r="I76" s="25" t="inlineStr">
        <is>
          <t>Ghi chú</t>
        </is>
      </c>
    </row>
    <row r="77" ht="15.75" customHeight="1" s="139">
      <c r="A77" s="87" t="inlineStr">
        <is>
          <t>Rò rỉ độ dài (micro AUC)</t>
        </is>
      </c>
      <c r="B77" s="109" t="inlineStr">
        <is>
          <t>≤ 0.55</t>
        </is>
      </c>
      <c r="C77" s="110" t="n">
        <v>0.5</v>
      </c>
      <c r="D77" s="112" t="n">
        <v>0.5</v>
      </c>
      <c r="E77" s="142" t="inlineStr">
        <is>
          <t>Window cố định đóng rò rỉ HOÀN TOÀN theo thiết kế</t>
        </is>
      </c>
      <c r="F77" s="141" t="n"/>
      <c r="G77" s="141" t="n"/>
      <c r="H77" s="140" t="n"/>
      <c r="I77" s="114" t="n"/>
    </row>
    <row r="78" ht="15.75" customHeight="1" s="139">
      <c r="A78" s="87" t="inlineStr">
        <is>
          <t>Clip oracle (micro AUC)</t>
        </is>
      </c>
      <c r="B78" s="109" t="inlineStr">
        <is>
          <t>≤ 0.75</t>
        </is>
      </c>
      <c r="C78" s="116" t="n">
        <v>0.7529</v>
      </c>
      <c r="D78" s="112" t="n">
        <v>0.7037</v>
      </c>
      <c r="E78" s="142" t="inlineStr">
        <is>
          <t>Tiêu chí DUY NHẤT làm W=16 trượt — thiếu 0,77 % số frame</t>
        </is>
      </c>
      <c r="F78" s="141" t="n"/>
      <c r="G78" s="141" t="n"/>
      <c r="H78" s="140" t="n"/>
      <c r="I78" s="114" t="n"/>
    </row>
    <row r="79" ht="15.75" customHeight="1" s="139">
      <c r="A79" s="87" t="inlineStr">
        <is>
          <t>Giữ lại nguồn abnormal</t>
        </is>
      </c>
      <c r="B79" s="109" t="inlineStr">
        <is>
          <t>≥ 0.90</t>
        </is>
      </c>
      <c r="C79" s="110" t="n">
        <v>0.983</v>
      </c>
      <c r="D79" s="110" t="n">
        <v>0.9568</v>
      </c>
      <c r="E79" s="142" t="inlineStr">
        <is>
          <t>Window dài hơn thì mất thêm một ít clip nguồn ngắn</t>
        </is>
      </c>
      <c r="F79" s="141" t="n"/>
      <c r="G79" s="141" t="n"/>
      <c r="H79" s="140" t="n"/>
      <c r="I79" s="114" t="n"/>
    </row>
    <row r="80" ht="15.75" customHeight="1" s="139">
      <c r="A80" s="87" t="inlineStr">
        <is>
          <t>Tỉ lệ lớp (normal : abnormal)</t>
        </is>
      </c>
      <c r="B80" s="109" t="inlineStr">
        <is>
          <t>≈ 1:3</t>
        </is>
      </c>
      <c r="C80" s="110" t="n">
        <v>2.06</v>
      </c>
      <c r="D80" s="110" t="n">
        <v>2.8</v>
      </c>
      <c r="E80" s="142" t="inlineStr">
        <is>
          <t>Số window abnormal / normal</t>
        </is>
      </c>
      <c r="F80" s="141" t="n"/>
      <c r="G80" s="141" t="n"/>
      <c r="H80" s="140" t="n"/>
      <c r="I80" s="114" t="n"/>
    </row>
    <row r="81" ht="15.75" customHeight="1" s="139">
      <c r="A81" s="87" t="inlineStr">
        <is>
          <t>Phủ kernel (k=3)</t>
        </is>
      </c>
      <c r="B81" s="109" t="inlineStr">
        <is>
          <t>≤ 0.35</t>
        </is>
      </c>
      <c r="C81" s="110" t="n">
        <v>0.1875</v>
      </c>
      <c r="D81" s="112" t="n">
        <v>0.15</v>
      </c>
      <c r="E81" s="142" t="inlineStr">
        <is>
          <t>3/16 so với 3/20</t>
        </is>
      </c>
      <c r="F81" s="141" t="n"/>
      <c r="G81" s="141" t="n"/>
      <c r="H81" s="140" t="n"/>
      <c r="I81" s="114" t="n"/>
    </row>
    <row r="82" ht="15.75" customHeight="1" s="139">
      <c r="A82" s="87" t="inlineStr">
        <is>
          <t>Window test 2 lớp</t>
        </is>
      </c>
      <c r="B82" s="109" t="inlineStr">
        <is>
          <t>≥ 300</t>
        </is>
      </c>
      <c r="C82" s="117" t="n">
        <v>787</v>
      </c>
      <c r="D82" s="118" t="n">
        <v>798</v>
      </c>
      <c r="E82" s="142" t="inlineStr">
        <is>
          <t>Mẫu số của auc_macro</t>
        </is>
      </c>
      <c r="F82" s="141" t="n"/>
      <c r="G82" s="141" t="n"/>
      <c r="H82" s="140" t="n"/>
      <c r="I82" s="114" t="n"/>
    </row>
    <row r="83" ht="43.5" customHeight="1" s="139">
      <c r="A83" s="144" t="n"/>
      <c r="B83" s="141" t="n"/>
      <c r="C83" s="141" t="n"/>
      <c r="D83" s="141" t="n"/>
      <c r="E83" s="141" t="n"/>
      <c r="F83" s="141" t="n"/>
      <c r="G83" s="141" t="n"/>
      <c r="H83" s="141" t="n"/>
      <c r="I83" s="140" t="n"/>
    </row>
    <row r="84" ht="15.75" customHeight="1" s="139">
      <c r="A84" s="2" t="n"/>
      <c r="B84" s="2" t="n"/>
      <c r="C84" s="2" t="n"/>
      <c r="D84" s="2" t="n"/>
      <c r="E84" s="2" t="n"/>
      <c r="F84" s="2" t="n"/>
      <c r="G84" s="2" t="n"/>
      <c r="H84" s="2" t="n"/>
      <c r="I84" s="2" t="n"/>
    </row>
    <row r="85" ht="21.75" customHeight="1" s="139">
      <c r="A85" s="19" t="inlineStr">
        <is>
          <t>6. TỔNG KẾT</t>
        </is>
      </c>
    </row>
    <row r="86" ht="30" customHeight="1" s="139">
      <c r="A86" s="25" t="inlineStr">
        <is>
          <t>#</t>
        </is>
      </c>
      <c r="B86" s="25" t="inlineStr">
        <is>
          <t>Kết luận</t>
        </is>
      </c>
      <c r="C86" s="141" t="n"/>
      <c r="D86" s="140" t="n"/>
      <c r="E86" s="25" t="inlineStr">
        <is>
          <t>Bằng chứng / số đo</t>
        </is>
      </c>
      <c r="F86" s="141" t="n"/>
      <c r="G86" s="141" t="n"/>
      <c r="H86" s="141" t="n"/>
      <c r="I86" s="140" t="n"/>
    </row>
    <row r="87" ht="57.75" customHeight="1" s="139">
      <c r="A87" s="87" t="inlineStr">
        <is>
          <t>1</t>
        </is>
      </c>
      <c r="B87" s="87" t="inlineStr">
        <is>
          <t>Không có corpus nào vừa SẠCH vừa có mẫu NORMAL — trừ DADA2000 W=20.</t>
        </is>
      </c>
      <c r="C87" s="141" t="n"/>
      <c r="D87" s="140" t="n"/>
      <c r="E87" s="142" t="inlineStr">
        <is>
          <t>MSAD (có negative, sạch, nhưng là CCTV) · TAD (có negative, sụp đổ) · DADA-archive (có negative, rò rỉ) · DoTA (sạch nhưng train_clips = 0, chỉ 3 clip normal) · DADA bản gốc (sạch, KHÔNG có video normal). DADA2000 W=20 thì đạt được cái tiêu chí tuy nhiên khi training thì kết quả không tốt do độ dài window quá ngắn làm các thông tin về vận tốc ít được mã hoá</t>
        </is>
      </c>
      <c r="F87" s="141" t="n"/>
      <c r="G87" s="141" t="n"/>
      <c r="H87" s="141" t="n"/>
      <c r="I87" s="140" t="n"/>
    </row>
    <row r="88" ht="57.75" customHeight="1" s="139">
      <c r="A88" s="87" t="inlineStr">
        <is>
          <t>2</t>
        </is>
      </c>
      <c r="B88" s="87" t="inlineStr">
        <is>
          <t>DoTA giữ làm evaluation dataset để benchmark</t>
        </is>
      </c>
      <c r="C88" s="141" t="n"/>
      <c r="D88" s="140" t="n"/>
      <c r="E88" s="142" t="inlineStr">
        <is>
          <t>Oracle 0.5017, rò rỉ độ dài 0.4993, 1.392/1.397 clip là clip hỗn hợp — nghĩa là micro AUC trên DoTA thực sự đo định vị. Nhưng train_clips = 0: DoTA không thể huấn luyện và phải giữ nguyên trạng thái chưa từng thấy. Mốc phải vượt: 0.6408 micro (arm MSAD kip_on).</t>
        </is>
      </c>
      <c r="F88" s="141" t="n"/>
      <c r="G88" s="141" t="n"/>
      <c r="H88" s="141" t="n"/>
      <c r="I88" s="140" t="n"/>
    </row>
    <row r="89" ht="57.75" customHeight="1" s="139">
      <c r="A89" s="87" t="inlineStr">
        <is>
          <t>3</t>
        </is>
      </c>
      <c r="B89" s="87" t="inlineStr">
        <is>
          <t>TAD và DADA2000 bản cắt gọt không dùng cho train được</t>
        </is>
      </c>
      <c r="C89" s="141" t="n"/>
      <c r="D89" s="140" t="n"/>
      <c r="E89" s="142" t="inlineStr">
        <is>
          <t>TAD: oracle 0.9226, chỉ riêng độ dài clip cho micro 0.8968 → con số công bố 89.56 nằm LỌT GIỮA hai mốc này. DADA-archive: oracle 0.9086, rò rỉ 0.8654, median T = 9 đúng bằng kernel 9, probe chỉ 0.5228. Không bao giờ đặt micro của hai corpus này cạnh một số frame-level đã công bố.</t>
        </is>
      </c>
      <c r="F89" s="141" t="n"/>
      <c r="G89" s="141" t="n"/>
      <c r="H89" s="141" t="n"/>
      <c r="I89" s="140" t="n"/>
    </row>
    <row r="90" ht="57.75" customHeight="1" s="139">
      <c r="A90" s="87" t="inlineStr">
        <is>
          <t>6</t>
        </is>
      </c>
      <c r="B90" s="87" t="inlineStr">
        <is>
          <t>DADA2000 W = 20 có thể dùng để training (tuy nhiên kết quả chưa được
tốt)</t>
        </is>
      </c>
      <c r="C90" s="141" t="n"/>
      <c r="D90" s="140" t="n"/>
      <c r="E90" s="142" t="inlineStr">
        <is>
          <t>leak 0.5000 · oracle 0.7037 · giữ 95,7 % nguồn abnormal · 798 window test 2 lớp · phủ kernel 15 % với kernel 3. Và khi huấn luyện thật (KIP-off, 3 seed — số này lấy từ outputs/REPORTS/DADA2000_orig_phase4, không thuộc EDA): auc_macro 0.6248 &gt; probe 0.5983, micro 0.6182 NẰM DƯỚI oracle 0.7037 — đây là corpus đầu tiên mà huấn luyện in-domain KHÔNG sụp thành bộ phân loại clip/window.</t>
        </is>
      </c>
      <c r="F90" s="141" t="n"/>
      <c r="G90" s="141" t="n"/>
      <c r="H90" s="141" t="n"/>
      <c r="I90" s="140" t="n"/>
    </row>
    <row r="91" ht="57.75" customHeight="1" s="139">
      <c r="A91" s="87" t="inlineStr">
        <is>
          <t>7</t>
        </is>
      </c>
      <c r="B91" s="87" t="inlineStr">
        <is>
          <t>CLIP feature của DADA2000 W = 20 chưa mang nhiều tín hiệu</t>
        </is>
      </c>
      <c r="C91" s="141" t="n"/>
      <c r="D91" s="140" t="n"/>
      <c r="E91" s="142" t="inlineStr">
        <is>
          <t>Verdict 'đặc trưng không mang tín hiệu mức frame' bắn ra vì probe 0.5983 &lt; ngưỡng 0.60 của công cụ EDA. Nhưng probe chỉ là trần của một bộ đọc TUYẾN TÍNH TỪNG FRAME, còn các arm có temporal encoder + Conv1d(kernel=3) và đã đo được 0.6248.</t>
        </is>
      </c>
      <c r="F91" s="141" t="n"/>
      <c r="G91" s="141" t="n"/>
      <c r="H91" s="141" t="n"/>
      <c r="I91" s="140" t="n"/>
    </row>
    <row r="92" ht="15.75" customHeight="1" s="139">
      <c r="A92" s="2" t="n"/>
      <c r="B92" s="2" t="n"/>
      <c r="C92" s="2" t="n"/>
      <c r="D92" s="2" t="n"/>
      <c r="E92" s="2" t="n"/>
      <c r="F92" s="2" t="n"/>
      <c r="G92" s="2" t="n"/>
      <c r="H92" s="2" t="n"/>
      <c r="I92" s="2" t="n"/>
    </row>
    <row r="93" ht="15.75" customHeight="1" s="139">
      <c r="A93" s="2" t="n"/>
      <c r="B93" s="2" t="n"/>
      <c r="C93" s="2" t="n"/>
      <c r="D93" s="2" t="n"/>
      <c r="E93" s="2" t="n"/>
      <c r="F93" s="2" t="n"/>
      <c r="G93" s="2" t="n"/>
      <c r="H93" s="2" t="n"/>
      <c r="I93" s="2" t="n"/>
    </row>
    <row r="94" ht="19.5" customHeight="1" s="139">
      <c r="A94" s="145" t="n"/>
      <c r="B94" s="141" t="n"/>
      <c r="C94" s="141" t="n"/>
      <c r="D94" s="141" t="n"/>
      <c r="E94" s="141" t="n"/>
      <c r="F94" s="141" t="n"/>
      <c r="G94" s="141" t="n"/>
      <c r="H94" s="141" t="n"/>
      <c r="I94" s="140" t="n"/>
    </row>
    <row r="95" ht="15.75" customHeight="1" s="139">
      <c r="A95" s="2" t="n"/>
      <c r="B95" s="2" t="n"/>
      <c r="C95" s="2" t="n"/>
      <c r="D95" s="2" t="n"/>
      <c r="E95" s="2" t="n"/>
      <c r="F95" s="2" t="n"/>
      <c r="G95" s="2" t="n"/>
      <c r="H95" s="2" t="n"/>
      <c r="I95" s="2" t="n"/>
    </row>
    <row r="96" ht="15.75" customHeight="1" s="139">
      <c r="A96" s="2" t="n"/>
      <c r="B96" s="2" t="n"/>
      <c r="C96" s="2" t="n"/>
      <c r="D96" s="2" t="n"/>
      <c r="E96" s="2" t="n"/>
      <c r="F96" s="2" t="n"/>
      <c r="G96" s="2" t="n"/>
      <c r="H96" s="2" t="n"/>
      <c r="I96" s="2" t="n"/>
    </row>
    <row r="97" ht="15.75" customHeight="1" s="139">
      <c r="A97" s="2" t="n"/>
      <c r="B97" s="2" t="n"/>
      <c r="C97" s="2" t="n"/>
      <c r="D97" s="2" t="n"/>
      <c r="E97" s="2" t="n"/>
      <c r="F97" s="2" t="n"/>
      <c r="G97" s="2" t="n"/>
      <c r="H97" s="2" t="n"/>
      <c r="I97" s="2" t="n"/>
    </row>
    <row r="98" ht="15.75" customHeight="1" s="139">
      <c r="A98" s="2" t="n"/>
      <c r="B98" s="2" t="n"/>
      <c r="C98" s="2" t="n"/>
      <c r="D98" s="2" t="n"/>
      <c r="E98" s="2" t="n"/>
      <c r="F98" s="2" t="n"/>
      <c r="G98" s="2" t="n"/>
      <c r="H98" s="2" t="n"/>
      <c r="I98" s="2" t="n"/>
    </row>
    <row r="99" ht="30.75" customHeight="1" s="139">
      <c r="A99" s="127" t="inlineStr">
        <is>
          <t>DoTA</t>
        </is>
      </c>
      <c r="B99" s="2" t="n"/>
      <c r="C99" s="2" t="n"/>
      <c r="D99" s="2" t="n"/>
      <c r="E99" s="127" t="inlineStr">
        <is>
          <t>TAD</t>
        </is>
      </c>
      <c r="F99" s="2" t="n"/>
      <c r="G99" s="2" t="n"/>
      <c r="H99" s="2" t="n"/>
      <c r="I99" s="2" t="n"/>
    </row>
    <row r="100" ht="15.75" customHeight="1" s="139">
      <c r="A100" s="2" t="n"/>
      <c r="B100" s="2" t="n"/>
      <c r="C100" s="2" t="n"/>
      <c r="D100" s="2" t="n"/>
      <c r="E100" s="2" t="n"/>
      <c r="F100" s="2" t="n"/>
      <c r="G100" s="2" t="n"/>
      <c r="H100" s="2" t="n"/>
      <c r="I100" s="2" t="n"/>
    </row>
    <row r="101" ht="15.75" customHeight="1" s="139">
      <c r="A101" s="2" t="n"/>
      <c r="B101" s="2" t="n"/>
      <c r="C101" s="2" t="n"/>
      <c r="D101" s="2" t="n"/>
      <c r="E101" s="2" t="n"/>
      <c r="F101" s="2" t="n"/>
      <c r="G101" s="2" t="n"/>
      <c r="H101" s="2" t="n"/>
      <c r="I101" s="2" t="n"/>
    </row>
    <row r="102" ht="15.75" customHeight="1" s="139">
      <c r="A102" s="2" t="n"/>
      <c r="B102" s="2" t="n"/>
      <c r="C102" s="2" t="n"/>
      <c r="D102" s="2" t="n"/>
      <c r="E102" s="2" t="n"/>
      <c r="F102" s="2" t="n"/>
      <c r="G102" s="2" t="n"/>
      <c r="H102" s="2" t="n"/>
      <c r="I102" s="2" t="n"/>
    </row>
    <row r="103" ht="15.75" customHeight="1" s="139">
      <c r="A103" s="2" t="n"/>
      <c r="B103" s="2" t="n"/>
      <c r="C103" s="2" t="n"/>
      <c r="D103" s="2" t="n"/>
      <c r="E103" s="2" t="n"/>
      <c r="F103" s="2" t="n"/>
      <c r="G103" s="2" t="n"/>
      <c r="H103" s="2" t="n"/>
      <c r="I103" s="2" t="n"/>
    </row>
    <row r="104" ht="15.75" customHeight="1" s="139">
      <c r="A104" s="2" t="n"/>
      <c r="B104" s="2" t="n"/>
      <c r="C104" s="2" t="n"/>
      <c r="D104" s="2" t="n"/>
      <c r="E104" s="2" t="n"/>
      <c r="F104" s="2" t="n"/>
      <c r="G104" s="2" t="n"/>
      <c r="H104" s="2" t="n"/>
      <c r="I104" s="2" t="n"/>
    </row>
    <row r="105" ht="15.75" customHeight="1" s="139">
      <c r="A105" s="2" t="n"/>
      <c r="B105" s="2" t="n"/>
      <c r="C105" s="2" t="n"/>
      <c r="D105" s="2" t="n"/>
      <c r="E105" s="2" t="n"/>
      <c r="F105" s="2" t="n"/>
      <c r="G105" s="2" t="n"/>
      <c r="H105" s="2" t="n"/>
      <c r="I105" s="2" t="n"/>
    </row>
    <row r="106" ht="15.75" customHeight="1" s="139">
      <c r="A106" s="2" t="n"/>
      <c r="B106" s="2" t="n"/>
      <c r="C106" s="2" t="n"/>
      <c r="D106" s="2" t="n"/>
      <c r="E106" s="2" t="n"/>
      <c r="F106" s="2" t="n"/>
      <c r="G106" s="2" t="n"/>
      <c r="H106" s="2" t="n"/>
      <c r="I106" s="2" t="n"/>
    </row>
    <row r="107" ht="15.75" customHeight="1" s="139">
      <c r="A107" s="2" t="n"/>
      <c r="B107" s="2" t="n"/>
      <c r="C107" s="2" t="n"/>
      <c r="D107" s="2" t="n"/>
      <c r="E107" s="2" t="n"/>
      <c r="F107" s="2" t="n"/>
      <c r="G107" s="2" t="n"/>
      <c r="H107" s="2" t="n"/>
      <c r="I107" s="2" t="n"/>
    </row>
    <row r="108" ht="15.75" customHeight="1" s="139">
      <c r="A108" s="2" t="n"/>
      <c r="B108" s="2" t="n"/>
      <c r="C108" s="2" t="n"/>
      <c r="D108" s="2" t="n"/>
      <c r="E108" s="2" t="n"/>
      <c r="F108" s="2" t="n"/>
      <c r="G108" s="2" t="n"/>
      <c r="H108" s="2" t="n"/>
      <c r="I108" s="2" t="n"/>
    </row>
    <row r="109" ht="15.75" customHeight="1" s="139">
      <c r="A109" s="2" t="n"/>
      <c r="B109" s="2" t="n"/>
      <c r="C109" s="2" t="n"/>
      <c r="D109" s="2" t="n"/>
      <c r="E109" s="2" t="n"/>
      <c r="F109" s="2" t="n"/>
      <c r="G109" s="2" t="n"/>
      <c r="H109" s="2" t="n"/>
      <c r="I109" s="2" t="n"/>
    </row>
    <row r="110" ht="15.75" customHeight="1" s="139">
      <c r="A110" s="2" t="n"/>
      <c r="B110" s="2" t="n"/>
      <c r="C110" s="2" t="n"/>
      <c r="D110" s="2" t="n"/>
      <c r="E110" s="2" t="n"/>
      <c r="F110" s="2" t="n"/>
      <c r="G110" s="2" t="n"/>
      <c r="H110" s="2" t="n"/>
      <c r="I110" s="2" t="n"/>
    </row>
    <row r="111" ht="15.75" customHeight="1" s="139">
      <c r="A111" s="2" t="n"/>
      <c r="B111" s="2" t="n"/>
      <c r="C111" s="2" t="n"/>
      <c r="D111" s="2" t="n"/>
      <c r="E111" s="2" t="n"/>
      <c r="F111" s="2" t="n"/>
      <c r="G111" s="2" t="n"/>
      <c r="H111" s="2" t="n"/>
      <c r="I111" s="2" t="n"/>
    </row>
    <row r="112" ht="15.75" customHeight="1" s="139">
      <c r="A112" s="2" t="n"/>
      <c r="B112" s="2" t="n"/>
      <c r="C112" s="2" t="n"/>
      <c r="D112" s="2" t="n"/>
      <c r="E112" s="2" t="n"/>
      <c r="F112" s="2" t="n"/>
      <c r="G112" s="2" t="n"/>
      <c r="H112" s="2" t="n"/>
      <c r="I112" s="2" t="n"/>
    </row>
    <row r="113" ht="15.75" customHeight="1" s="139">
      <c r="A113" s="2" t="n"/>
      <c r="B113" s="2" t="n"/>
      <c r="C113" s="2" t="n"/>
      <c r="D113" s="2" t="n"/>
      <c r="E113" s="2" t="n"/>
      <c r="F113" s="2" t="n"/>
      <c r="G113" s="2" t="n"/>
      <c r="H113" s="2" t="n"/>
      <c r="I113" s="2" t="n"/>
    </row>
    <row r="114" ht="15.75" customHeight="1" s="139">
      <c r="A114" s="2" t="n"/>
      <c r="B114" s="2" t="n"/>
      <c r="C114" s="2" t="n"/>
      <c r="D114" s="2" t="n"/>
      <c r="E114" s="2" t="n"/>
      <c r="F114" s="2" t="n"/>
      <c r="G114" s="2" t="n"/>
      <c r="H114" s="2" t="n"/>
      <c r="I114" s="2" t="n"/>
    </row>
    <row r="115" ht="15.75" customHeight="1" s="139">
      <c r="A115" s="2" t="n"/>
      <c r="B115" s="2" t="n"/>
      <c r="C115" s="2" t="n"/>
      <c r="D115" s="2" t="n"/>
      <c r="E115" s="2" t="n"/>
      <c r="F115" s="2" t="n"/>
      <c r="G115" s="2" t="n"/>
      <c r="H115" s="2" t="n"/>
      <c r="I115" s="2" t="n"/>
    </row>
    <row r="116" ht="15.75" customHeight="1" s="139">
      <c r="A116" s="2" t="n"/>
      <c r="B116" s="2" t="n"/>
      <c r="C116" s="2" t="n"/>
      <c r="D116" s="2" t="n"/>
      <c r="E116" s="2" t="n"/>
      <c r="F116" s="2" t="n"/>
      <c r="G116" s="2" t="n"/>
      <c r="H116" s="2" t="n"/>
      <c r="I116" s="2" t="n"/>
    </row>
    <row r="117" ht="15.75" customHeight="1" s="139">
      <c r="A117" s="2" t="n"/>
      <c r="B117" s="2" t="n"/>
      <c r="C117" s="2" t="n"/>
      <c r="D117" s="2" t="n"/>
      <c r="E117" s="2" t="n"/>
      <c r="F117" s="2" t="n"/>
      <c r="G117" s="2" t="n"/>
      <c r="H117" s="2" t="n"/>
      <c r="I117" s="2" t="n"/>
    </row>
    <row r="118" ht="15.75" customHeight="1" s="139">
      <c r="A118" s="2" t="n"/>
      <c r="B118" s="2" t="n"/>
      <c r="C118" s="2" t="n"/>
      <c r="D118" s="2" t="n"/>
      <c r="E118" s="2" t="n"/>
      <c r="F118" s="2" t="n"/>
      <c r="G118" s="2" t="n"/>
      <c r="H118" s="2" t="n"/>
      <c r="I118" s="2" t="n"/>
    </row>
    <row r="119" ht="15.75" customHeight="1" s="139">
      <c r="A119" s="2" t="n"/>
      <c r="B119" s="2" t="n"/>
      <c r="C119" s="2" t="n"/>
      <c r="D119" s="2" t="n"/>
      <c r="E119" s="2" t="n"/>
      <c r="F119" s="2" t="n"/>
      <c r="G119" s="2" t="n"/>
      <c r="H119" s="2" t="n"/>
      <c r="I119" s="2" t="n"/>
    </row>
    <row r="120" ht="15.75" customHeight="1" s="139">
      <c r="A120" s="2" t="n"/>
      <c r="B120" s="2" t="n"/>
      <c r="C120" s="2" t="n"/>
      <c r="D120" s="2" t="n"/>
      <c r="E120" s="2" t="n"/>
      <c r="F120" s="2" t="n"/>
      <c r="G120" s="2" t="n"/>
      <c r="H120" s="2" t="n"/>
      <c r="I120" s="2" t="n"/>
    </row>
    <row r="121" ht="15.75" customHeight="1" s="139">
      <c r="A121" s="2" t="n"/>
      <c r="B121" s="2" t="n"/>
      <c r="C121" s="2" t="n"/>
      <c r="D121" s="2" t="n"/>
      <c r="E121" s="2" t="n"/>
      <c r="F121" s="2" t="n"/>
      <c r="G121" s="2" t="n"/>
      <c r="H121" s="2" t="n"/>
      <c r="I121" s="2" t="n"/>
    </row>
    <row r="122" ht="15.75" customHeight="1" s="139">
      <c r="A122" s="2" t="n"/>
      <c r="B122" s="2" t="n"/>
      <c r="C122" s="2" t="n"/>
      <c r="D122" s="2" t="n"/>
      <c r="E122" s="2" t="n"/>
      <c r="F122" s="2" t="n"/>
      <c r="G122" s="2" t="n"/>
      <c r="H122" s="2" t="n"/>
      <c r="I122" s="2" t="n"/>
    </row>
    <row r="123" ht="15.75" customHeight="1" s="139">
      <c r="A123" s="2" t="n"/>
      <c r="B123" s="2" t="n"/>
      <c r="C123" s="2" t="n"/>
      <c r="D123" s="2" t="n"/>
      <c r="E123" s="2" t="n"/>
      <c r="F123" s="2" t="n"/>
      <c r="G123" s="2" t="n"/>
      <c r="H123" s="2" t="n"/>
      <c r="I123" s="2" t="n"/>
    </row>
    <row r="124" ht="15.75" customHeight="1" s="139">
      <c r="A124" s="2" t="n"/>
      <c r="B124" s="2" t="n"/>
      <c r="C124" s="2" t="n"/>
      <c r="D124" s="2" t="n"/>
      <c r="E124" s="2" t="n"/>
      <c r="F124" s="2" t="n"/>
      <c r="G124" s="2" t="n"/>
      <c r="H124" s="2" t="n"/>
      <c r="I124" s="2" t="n"/>
    </row>
    <row r="125" ht="15.75" customHeight="1" s="139">
      <c r="A125" s="2" t="n"/>
      <c r="B125" s="2" t="n"/>
      <c r="C125" s="2" t="n"/>
      <c r="D125" s="2" t="n"/>
      <c r="E125" s="2" t="n"/>
      <c r="F125" s="2" t="n"/>
      <c r="G125" s="2" t="n"/>
      <c r="H125" s="2" t="n"/>
      <c r="I125" s="2" t="n"/>
    </row>
    <row r="126" ht="15.75" customHeight="1" s="139">
      <c r="A126" s="2" t="n"/>
      <c r="B126" s="2" t="n"/>
      <c r="C126" s="2" t="n"/>
      <c r="D126" s="2" t="n"/>
      <c r="E126" s="2" t="n"/>
      <c r="F126" s="2" t="n"/>
      <c r="G126" s="2" t="n"/>
      <c r="H126" s="2" t="n"/>
      <c r="I126" s="2" t="n"/>
    </row>
    <row r="127" ht="15.75" customHeight="1" s="139">
      <c r="A127" s="2" t="n"/>
      <c r="B127" s="2" t="n"/>
      <c r="C127" s="2" t="n"/>
      <c r="D127" s="2" t="n"/>
      <c r="E127" s="2" t="n"/>
      <c r="F127" s="2" t="n"/>
      <c r="G127" s="2" t="n"/>
      <c r="H127" s="2" t="n"/>
      <c r="I127" s="2" t="n"/>
    </row>
    <row r="128" ht="15.75" customHeight="1" s="139">
      <c r="A128" s="2" t="n"/>
      <c r="B128" s="2" t="n"/>
      <c r="C128" s="2" t="n"/>
      <c r="D128" s="2" t="n"/>
      <c r="E128" s="2" t="n"/>
      <c r="F128" s="2" t="n"/>
      <c r="G128" s="2" t="n"/>
      <c r="H128" s="2" t="n"/>
      <c r="I128" s="2" t="n"/>
    </row>
    <row r="129" ht="15.75" customHeight="1" s="139">
      <c r="A129" s="2" t="n"/>
      <c r="B129" s="2" t="n"/>
      <c r="C129" s="2" t="n"/>
      <c r="D129" s="2" t="n"/>
      <c r="E129" s="2" t="n"/>
      <c r="F129" s="2" t="n"/>
      <c r="G129" s="2" t="n"/>
      <c r="H129" s="2" t="n"/>
      <c r="I129" s="2" t="n"/>
    </row>
    <row r="130" ht="15.75" customHeight="1" s="139">
      <c r="A130" s="2" t="n"/>
      <c r="B130" s="2" t="n"/>
      <c r="C130" s="2" t="n"/>
      <c r="D130" s="2" t="n"/>
      <c r="E130" s="2" t="n"/>
      <c r="F130" s="2" t="n"/>
      <c r="G130" s="2" t="n"/>
      <c r="H130" s="2" t="n"/>
      <c r="I130" s="2" t="n"/>
    </row>
    <row r="131" ht="15.75" customHeight="1" s="139">
      <c r="A131" s="2" t="n"/>
      <c r="B131" s="2" t="n"/>
      <c r="C131" s="2" t="n"/>
      <c r="D131" s="2" t="n"/>
      <c r="E131" s="2" t="n"/>
      <c r="F131" s="2" t="n"/>
      <c r="G131" s="2" t="n"/>
      <c r="H131" s="2" t="n"/>
      <c r="I131" s="2" t="n"/>
    </row>
    <row r="132" ht="15.75" customHeight="1" s="139">
      <c r="A132" s="2" t="n"/>
      <c r="B132" s="2" t="n"/>
      <c r="C132" s="2" t="n"/>
      <c r="D132" s="2" t="n"/>
      <c r="E132" s="2" t="n"/>
      <c r="F132" s="2" t="n"/>
      <c r="G132" s="2" t="n"/>
      <c r="H132" s="2" t="n"/>
      <c r="I132" s="2" t="n"/>
    </row>
    <row r="133" ht="15.75" customHeight="1" s="139">
      <c r="A133" s="2" t="n"/>
      <c r="B133" s="2" t="n"/>
      <c r="C133" s="2" t="n"/>
      <c r="D133" s="2" t="n"/>
      <c r="E133" s="2" t="n"/>
      <c r="F133" s="2" t="n"/>
      <c r="G133" s="2" t="n"/>
      <c r="H133" s="2" t="n"/>
      <c r="I133" s="2" t="n"/>
    </row>
    <row r="134" ht="15.75" customHeight="1" s="139">
      <c r="A134" s="2" t="n"/>
      <c r="B134" s="2" t="n"/>
      <c r="C134" s="2" t="n"/>
      <c r="D134" s="2" t="n"/>
      <c r="E134" s="2" t="n"/>
      <c r="F134" s="2" t="n"/>
      <c r="G134" s="2" t="n"/>
      <c r="H134" s="2" t="n"/>
      <c r="I134" s="2" t="n"/>
    </row>
    <row r="135" ht="15.75" customHeight="1" s="139">
      <c r="A135" s="2" t="n"/>
      <c r="B135" s="2" t="n"/>
      <c r="C135" s="2" t="n"/>
      <c r="D135" s="2" t="n"/>
      <c r="E135" s="2" t="n"/>
      <c r="F135" s="2" t="n"/>
      <c r="G135" s="2" t="n"/>
      <c r="H135" s="2" t="n"/>
      <c r="I135" s="2" t="n"/>
    </row>
    <row r="136" ht="15.75" customHeight="1" s="139">
      <c r="A136" s="2" t="n"/>
      <c r="B136" s="2" t="n"/>
      <c r="C136" s="2" t="n"/>
      <c r="D136" s="2" t="n"/>
      <c r="E136" s="2" t="n"/>
      <c r="F136" s="2" t="n"/>
      <c r="G136" s="2" t="n"/>
      <c r="H136" s="2" t="n"/>
      <c r="I136" s="2" t="n"/>
    </row>
    <row r="137" ht="15.75" customHeight="1" s="139">
      <c r="A137" s="2" t="n"/>
      <c r="B137" s="2" t="n"/>
      <c r="C137" s="2" t="n"/>
      <c r="D137" s="2" t="n"/>
      <c r="E137" s="2" t="n"/>
      <c r="F137" s="2" t="n"/>
      <c r="G137" s="2" t="n"/>
      <c r="H137" s="2" t="n"/>
      <c r="I137" s="2" t="n"/>
    </row>
    <row r="138" ht="15.75" customHeight="1" s="139">
      <c r="A138" s="2" t="n"/>
      <c r="B138" s="2" t="n"/>
      <c r="C138" s="2" t="n"/>
      <c r="D138" s="2" t="n"/>
      <c r="E138" s="2" t="n"/>
      <c r="F138" s="2" t="n"/>
      <c r="G138" s="2" t="n"/>
      <c r="H138" s="2" t="n"/>
      <c r="I138" s="2" t="n"/>
    </row>
    <row r="139" ht="15.75" customHeight="1" s="139">
      <c r="A139" s="2" t="n"/>
      <c r="B139" s="2" t="n"/>
      <c r="C139" s="2" t="n"/>
      <c r="D139" s="2" t="n"/>
      <c r="E139" s="2" t="n"/>
      <c r="F139" s="2" t="n"/>
      <c r="G139" s="2" t="n"/>
      <c r="H139" s="2" t="n"/>
      <c r="I139" s="2" t="n"/>
    </row>
    <row r="140" ht="15.75" customHeight="1" s="139">
      <c r="A140" s="2" t="n"/>
      <c r="B140" s="2" t="n"/>
      <c r="C140" s="2" t="n"/>
      <c r="D140" s="2" t="n"/>
      <c r="E140" s="2" t="n"/>
      <c r="F140" s="2" t="n"/>
      <c r="G140" s="2" t="n"/>
      <c r="H140" s="2" t="n"/>
      <c r="I140" s="2" t="n"/>
    </row>
    <row r="141" ht="15.75" customHeight="1" s="139">
      <c r="A141" s="2" t="n"/>
      <c r="B141" s="2" t="n"/>
      <c r="C141" s="2" t="n"/>
      <c r="D141" s="2" t="n"/>
      <c r="E141" s="2" t="n"/>
      <c r="F141" s="2" t="n"/>
      <c r="G141" s="2" t="n"/>
      <c r="H141" s="2" t="n"/>
      <c r="I141" s="2" t="n"/>
    </row>
    <row r="142" ht="15.75" customHeight="1" s="139">
      <c r="A142" s="2" t="n"/>
      <c r="B142" s="2" t="n"/>
      <c r="C142" s="2" t="n"/>
      <c r="D142" s="2" t="n"/>
      <c r="E142" s="2" t="n"/>
      <c r="F142" s="2" t="n"/>
      <c r="G142" s="2" t="n"/>
      <c r="H142" s="2" t="n"/>
      <c r="I142" s="2" t="n"/>
    </row>
    <row r="143" ht="15.75" customHeight="1" s="139">
      <c r="A143" s="2" t="n"/>
      <c r="B143" s="2" t="n"/>
      <c r="C143" s="2" t="n"/>
      <c r="D143" s="2" t="n"/>
      <c r="E143" s="2" t="n"/>
      <c r="F143" s="2" t="n"/>
      <c r="G143" s="2" t="n"/>
      <c r="H143" s="2" t="n"/>
      <c r="I143" s="2" t="n"/>
    </row>
    <row r="144" ht="15.75" customHeight="1" s="139">
      <c r="A144" s="2" t="n"/>
      <c r="B144" s="2" t="n"/>
      <c r="C144" s="2" t="n"/>
      <c r="D144" s="2" t="n"/>
      <c r="E144" s="2" t="n"/>
      <c r="F144" s="2" t="n"/>
      <c r="G144" s="2" t="n"/>
      <c r="H144" s="2" t="n"/>
      <c r="I144" s="2" t="n"/>
    </row>
    <row r="145" ht="15.75" customHeight="1" s="139">
      <c r="A145" s="2" t="n"/>
      <c r="B145" s="2" t="n"/>
      <c r="C145" s="2" t="n"/>
      <c r="D145" s="2" t="n"/>
      <c r="E145" s="2" t="n"/>
      <c r="F145" s="2" t="n"/>
      <c r="G145" s="2" t="n"/>
      <c r="H145" s="2" t="n"/>
      <c r="I145" s="2" t="n"/>
    </row>
    <row r="146" ht="15.75" customHeight="1" s="139">
      <c r="A146" s="2" t="n"/>
      <c r="B146" s="2" t="n"/>
      <c r="C146" s="2" t="n"/>
      <c r="D146" s="2" t="n"/>
      <c r="E146" s="2" t="n"/>
      <c r="F146" s="2" t="n"/>
      <c r="G146" s="2" t="n"/>
      <c r="H146" s="2" t="n"/>
      <c r="I146" s="2" t="n"/>
    </row>
    <row r="147" ht="15.75" customHeight="1" s="139">
      <c r="A147" s="2" t="n"/>
      <c r="B147" s="2" t="n"/>
      <c r="C147" s="2" t="n"/>
      <c r="D147" s="2" t="n"/>
      <c r="E147" s="2" t="n"/>
      <c r="F147" s="2" t="n"/>
      <c r="G147" s="2" t="n"/>
      <c r="H147" s="2" t="n"/>
      <c r="I147" s="2" t="n"/>
    </row>
    <row r="148" ht="15.75" customHeight="1" s="139">
      <c r="A148" s="2" t="n"/>
      <c r="B148" s="2" t="n"/>
      <c r="C148" s="2" t="n"/>
      <c r="D148" s="2" t="n"/>
      <c r="E148" s="2" t="n"/>
      <c r="F148" s="2" t="n"/>
      <c r="G148" s="2" t="n"/>
      <c r="H148" s="2" t="n"/>
      <c r="I148" s="2" t="n"/>
    </row>
    <row r="149" ht="15.75" customHeight="1" s="139">
      <c r="A149" s="2" t="n"/>
      <c r="B149" s="2" t="n"/>
      <c r="C149" s="2" t="n"/>
      <c r="D149" s="2" t="n"/>
      <c r="E149" s="2" t="n"/>
      <c r="F149" s="2" t="n"/>
      <c r="G149" s="2" t="n"/>
      <c r="H149" s="2" t="n"/>
      <c r="I149" s="2" t="n"/>
    </row>
    <row r="150" ht="15.75" customHeight="1" s="139">
      <c r="A150" s="2" t="n"/>
      <c r="B150" s="2" t="n"/>
      <c r="C150" s="2" t="n"/>
      <c r="D150" s="2" t="n"/>
      <c r="E150" s="2" t="n"/>
      <c r="F150" s="2" t="n"/>
      <c r="G150" s="2" t="n"/>
      <c r="H150" s="2" t="n"/>
      <c r="I150" s="2" t="n"/>
    </row>
    <row r="151" ht="15.75" customHeight="1" s="139">
      <c r="A151" s="2" t="n"/>
      <c r="B151" s="2" t="n"/>
      <c r="C151" s="2" t="n"/>
      <c r="D151" s="2" t="n"/>
      <c r="E151" s="2" t="n"/>
      <c r="F151" s="2" t="n"/>
      <c r="G151" s="2" t="n"/>
      <c r="H151" s="2" t="n"/>
      <c r="I151" s="2" t="n"/>
    </row>
    <row r="152" ht="15.75" customHeight="1" s="139">
      <c r="A152" s="2" t="n"/>
      <c r="B152" s="2" t="n"/>
      <c r="C152" s="2" t="n"/>
      <c r="D152" s="2" t="n"/>
      <c r="E152" s="2" t="n"/>
      <c r="F152" s="2" t="n"/>
      <c r="G152" s="2" t="n"/>
      <c r="H152" s="2" t="n"/>
      <c r="I152" s="2" t="n"/>
    </row>
    <row r="153" ht="15.75" customHeight="1" s="139">
      <c r="A153" s="2" t="n"/>
      <c r="B153" s="2" t="n"/>
      <c r="C153" s="2" t="n"/>
      <c r="D153" s="2" t="n"/>
      <c r="E153" s="2" t="n"/>
      <c r="F153" s="2" t="n"/>
      <c r="G153" s="2" t="n"/>
      <c r="H153" s="2" t="n"/>
      <c r="I153" s="2" t="n"/>
    </row>
    <row r="154" ht="15.75" customHeight="1" s="139">
      <c r="A154" s="2" t="n"/>
      <c r="B154" s="2" t="n"/>
      <c r="C154" s="2" t="n"/>
      <c r="D154" s="2" t="n"/>
      <c r="E154" s="2" t="n"/>
      <c r="F154" s="2" t="n"/>
      <c r="G154" s="2" t="n"/>
      <c r="H154" s="2" t="n"/>
      <c r="I154" s="2" t="n"/>
    </row>
    <row r="155" ht="15.75" customHeight="1" s="139">
      <c r="A155" s="2" t="n"/>
      <c r="B155" s="2" t="n"/>
      <c r="C155" s="2" t="n"/>
      <c r="D155" s="2" t="n"/>
      <c r="E155" s="2" t="n"/>
      <c r="F155" s="2" t="n"/>
      <c r="G155" s="2" t="n"/>
      <c r="H155" s="2" t="n"/>
      <c r="I155" s="2" t="n"/>
    </row>
    <row r="156" ht="15.75" customHeight="1" s="139">
      <c r="A156" s="2" t="n"/>
      <c r="B156" s="2" t="n"/>
      <c r="C156" s="2" t="n"/>
      <c r="D156" s="2" t="n"/>
      <c r="E156" s="2" t="n"/>
      <c r="F156" s="2" t="n"/>
      <c r="G156" s="2" t="n"/>
      <c r="H156" s="2" t="n"/>
      <c r="I156" s="2" t="n"/>
    </row>
    <row r="157" ht="15.75" customHeight="1" s="139">
      <c r="A157" s="2" t="n"/>
      <c r="B157" s="2" t="n"/>
      <c r="C157" s="2" t="n"/>
      <c r="D157" s="2" t="n"/>
      <c r="E157" s="2" t="n"/>
      <c r="F157" s="2" t="n"/>
      <c r="G157" s="2" t="n"/>
      <c r="H157" s="2" t="n"/>
      <c r="I157" s="2" t="n"/>
    </row>
    <row r="158" ht="15.75" customHeight="1" s="139">
      <c r="A158" s="2" t="n"/>
      <c r="B158" s="2" t="n"/>
      <c r="C158" s="2" t="n"/>
      <c r="D158" s="2" t="n"/>
      <c r="E158" s="2" t="n"/>
      <c r="F158" s="2" t="n"/>
      <c r="G158" s="2" t="n"/>
      <c r="H158" s="2" t="n"/>
      <c r="I158" s="2" t="n"/>
    </row>
    <row r="159" ht="15.75" customHeight="1" s="139">
      <c r="A159" s="2" t="n"/>
      <c r="B159" s="2" t="n"/>
      <c r="C159" s="2" t="n"/>
      <c r="D159" s="2" t="n"/>
      <c r="E159" s="2" t="n"/>
      <c r="F159" s="2" t="n"/>
      <c r="G159" s="2" t="n"/>
      <c r="H159" s="2" t="n"/>
      <c r="I159" s="2" t="n"/>
    </row>
    <row r="160" ht="15.75" customHeight="1" s="139">
      <c r="A160" s="2" t="n"/>
      <c r="B160" s="2" t="n"/>
      <c r="C160" s="2" t="n"/>
      <c r="D160" s="2" t="n"/>
      <c r="E160" s="2" t="n"/>
      <c r="F160" s="2" t="n"/>
      <c r="G160" s="2" t="n"/>
      <c r="H160" s="2" t="n"/>
      <c r="I160" s="2" t="n"/>
    </row>
    <row r="161" ht="15.75" customHeight="1" s="139">
      <c r="A161" s="2" t="n"/>
      <c r="B161" s="2" t="n"/>
      <c r="C161" s="2" t="n"/>
      <c r="D161" s="2" t="n"/>
      <c r="E161" s="2" t="n"/>
      <c r="F161" s="2" t="n"/>
      <c r="G161" s="2" t="n"/>
      <c r="H161" s="2" t="n"/>
      <c r="I161" s="2" t="n"/>
    </row>
    <row r="162" ht="15.75" customHeight="1" s="139">
      <c r="A162" s="2" t="n"/>
      <c r="B162" s="2" t="n"/>
      <c r="C162" s="2" t="n"/>
      <c r="D162" s="2" t="n"/>
      <c r="E162" s="2" t="n"/>
      <c r="F162" s="2" t="n"/>
      <c r="G162" s="2" t="n"/>
      <c r="H162" s="2" t="n"/>
      <c r="I162" s="2" t="n"/>
    </row>
    <row r="163" ht="15.75" customHeight="1" s="139">
      <c r="A163" s="2" t="n"/>
      <c r="B163" s="2" t="n"/>
      <c r="C163" s="2" t="n"/>
      <c r="D163" s="2" t="n"/>
      <c r="E163" s="2" t="n"/>
      <c r="F163" s="2" t="n"/>
      <c r="G163" s="2" t="n"/>
      <c r="H163" s="2" t="n"/>
      <c r="I163" s="2" t="n"/>
    </row>
    <row r="164" ht="15.75" customHeight="1" s="139">
      <c r="A164" s="2" t="n"/>
      <c r="B164" s="2" t="n"/>
      <c r="C164" s="2" t="n"/>
      <c r="D164" s="2" t="n"/>
      <c r="E164" s="2" t="n"/>
      <c r="F164" s="2" t="n"/>
      <c r="G164" s="2" t="n"/>
      <c r="H164" s="2" t="n"/>
      <c r="I164" s="2" t="n"/>
    </row>
    <row r="165" ht="15.75" customHeight="1" s="139">
      <c r="A165" s="2" t="n"/>
      <c r="B165" s="2" t="n"/>
      <c r="C165" s="2" t="n"/>
      <c r="D165" s="2" t="n"/>
      <c r="E165" s="2" t="n"/>
      <c r="F165" s="2" t="n"/>
      <c r="G165" s="2" t="n"/>
      <c r="H165" s="2" t="n"/>
      <c r="I165" s="2" t="n"/>
    </row>
    <row r="166" ht="15.75" customHeight="1" s="139">
      <c r="A166" s="2" t="n"/>
      <c r="B166" s="2" t="n"/>
      <c r="C166" s="2" t="n"/>
      <c r="D166" s="2" t="n"/>
      <c r="E166" s="2" t="n"/>
      <c r="F166" s="2" t="n"/>
      <c r="G166" s="2" t="n"/>
      <c r="H166" s="2" t="n"/>
      <c r="I166" s="2" t="n"/>
    </row>
    <row r="167" ht="15.75" customHeight="1" s="139">
      <c r="A167" s="2" t="n"/>
      <c r="B167" s="2" t="n"/>
      <c r="C167" s="2" t="n"/>
      <c r="D167" s="2" t="n"/>
      <c r="E167" s="2" t="n"/>
      <c r="F167" s="2" t="n"/>
      <c r="G167" s="2" t="n"/>
      <c r="H167" s="2" t="n"/>
      <c r="I167" s="2" t="n"/>
    </row>
    <row r="168" ht="15.75" customHeight="1" s="139">
      <c r="A168" s="2" t="n"/>
      <c r="B168" s="2" t="n"/>
      <c r="C168" s="2" t="n"/>
      <c r="D168" s="2" t="n"/>
      <c r="E168" s="2" t="n"/>
      <c r="F168" s="2" t="n"/>
      <c r="G168" s="2" t="n"/>
      <c r="H168" s="2" t="n"/>
      <c r="I168" s="2" t="n"/>
    </row>
    <row r="169" ht="15.75" customHeight="1" s="139">
      <c r="A169" s="2" t="n"/>
      <c r="B169" s="2" t="n"/>
      <c r="C169" s="2" t="n"/>
      <c r="D169" s="2" t="n"/>
      <c r="E169" s="2" t="n"/>
      <c r="F169" s="2" t="n"/>
      <c r="G169" s="2" t="n"/>
      <c r="H169" s="2" t="n"/>
      <c r="I169" s="2" t="n"/>
    </row>
    <row r="170" ht="15.75" customHeight="1" s="139">
      <c r="A170" s="2" t="n"/>
      <c r="B170" s="2" t="n"/>
      <c r="C170" s="2" t="n"/>
      <c r="D170" s="2" t="n"/>
      <c r="E170" s="2" t="n"/>
      <c r="F170" s="2" t="n"/>
      <c r="G170" s="2" t="n"/>
      <c r="H170" s="2" t="n"/>
      <c r="I170" s="2" t="n"/>
    </row>
    <row r="171" ht="15.75" customHeight="1" s="139">
      <c r="A171" s="2" t="n"/>
      <c r="B171" s="2" t="n"/>
      <c r="C171" s="2" t="n"/>
      <c r="D171" s="2" t="n"/>
      <c r="E171" s="2" t="n"/>
      <c r="F171" s="2" t="n"/>
      <c r="G171" s="2" t="n"/>
      <c r="H171" s="2" t="n"/>
      <c r="I171" s="2" t="n"/>
    </row>
    <row r="172" ht="15.75" customHeight="1" s="139">
      <c r="A172" s="2" t="n"/>
      <c r="B172" s="2" t="n"/>
      <c r="C172" s="2" t="n"/>
      <c r="D172" s="2" t="n"/>
      <c r="E172" s="2" t="n"/>
      <c r="F172" s="2" t="n"/>
      <c r="G172" s="2" t="n"/>
      <c r="H172" s="2" t="n"/>
      <c r="I172" s="2" t="n"/>
    </row>
    <row r="173" ht="15.75" customHeight="1" s="139">
      <c r="A173" s="2" t="n"/>
      <c r="B173" s="2" t="n"/>
      <c r="C173" s="2" t="n"/>
      <c r="D173" s="2" t="n"/>
      <c r="E173" s="2" t="n"/>
      <c r="F173" s="2" t="n"/>
      <c r="G173" s="2" t="n"/>
      <c r="H173" s="2" t="n"/>
      <c r="I173" s="2" t="n"/>
    </row>
    <row r="174" ht="15.75" customHeight="1" s="139">
      <c r="A174" s="2" t="n"/>
      <c r="B174" s="2" t="n"/>
      <c r="C174" s="2" t="n"/>
      <c r="D174" s="2" t="n"/>
      <c r="E174" s="2" t="n"/>
      <c r="F174" s="2" t="n"/>
      <c r="G174" s="2" t="n"/>
      <c r="H174" s="2" t="n"/>
      <c r="I174" s="2" t="n"/>
    </row>
    <row r="175" ht="15.75" customHeight="1" s="139">
      <c r="A175" s="2" t="n"/>
      <c r="B175" s="2" t="n"/>
      <c r="C175" s="2" t="n"/>
      <c r="D175" s="2" t="n"/>
      <c r="E175" s="2" t="n"/>
      <c r="F175" s="2" t="n"/>
      <c r="G175" s="2" t="n"/>
      <c r="H175" s="2" t="n"/>
      <c r="I175" s="2" t="n"/>
    </row>
    <row r="176" ht="15.75" customHeight="1" s="139">
      <c r="A176" s="2" t="n"/>
      <c r="B176" s="2" t="n"/>
      <c r="C176" s="2" t="n"/>
      <c r="D176" s="2" t="n"/>
      <c r="E176" s="2" t="n"/>
      <c r="F176" s="2" t="n"/>
      <c r="G176" s="2" t="n"/>
      <c r="H176" s="2" t="n"/>
      <c r="I176" s="2" t="n"/>
    </row>
    <row r="177" ht="15.75" customHeight="1" s="139">
      <c r="A177" s="2" t="n"/>
      <c r="B177" s="2" t="n"/>
      <c r="C177" s="2" t="n"/>
      <c r="D177" s="2" t="n"/>
      <c r="E177" s="2" t="n"/>
      <c r="F177" s="2" t="n"/>
      <c r="G177" s="2" t="n"/>
      <c r="H177" s="2" t="n"/>
      <c r="I177" s="2" t="n"/>
    </row>
    <row r="178" ht="15.75" customHeight="1" s="139">
      <c r="A178" s="2" t="n"/>
      <c r="B178" s="2" t="n"/>
      <c r="C178" s="2" t="n"/>
      <c r="D178" s="2" t="n"/>
      <c r="E178" s="2" t="n"/>
      <c r="F178" s="2" t="n"/>
      <c r="G178" s="2" t="n"/>
      <c r="H178" s="2" t="n"/>
      <c r="I178" s="2" t="n"/>
    </row>
    <row r="179" ht="15.75" customHeight="1" s="139">
      <c r="A179" s="2" t="n"/>
      <c r="B179" s="2" t="n"/>
      <c r="C179" s="2" t="n"/>
      <c r="D179" s="2" t="n"/>
      <c r="E179" s="2" t="n"/>
      <c r="F179" s="2" t="n"/>
      <c r="G179" s="2" t="n"/>
      <c r="H179" s="2" t="n"/>
      <c r="I179" s="2" t="n"/>
    </row>
    <row r="180" ht="15.75" customHeight="1" s="139">
      <c r="A180" s="2" t="n"/>
      <c r="B180" s="2" t="n"/>
      <c r="C180" s="2" t="n"/>
      <c r="D180" s="2" t="n"/>
      <c r="E180" s="2" t="n"/>
      <c r="F180" s="2" t="n"/>
      <c r="G180" s="2" t="n"/>
      <c r="H180" s="2" t="n"/>
      <c r="I180" s="2" t="n"/>
    </row>
    <row r="181" ht="15.75" customHeight="1" s="139">
      <c r="A181" s="2" t="n"/>
      <c r="B181" s="2" t="n"/>
      <c r="C181" s="2" t="n"/>
      <c r="D181" s="2" t="n"/>
      <c r="E181" s="2" t="n"/>
      <c r="F181" s="2" t="n"/>
      <c r="G181" s="2" t="n"/>
      <c r="H181" s="2" t="n"/>
      <c r="I181" s="2" t="n"/>
    </row>
    <row r="182" ht="15.75" customHeight="1" s="139">
      <c r="A182" s="2" t="n"/>
      <c r="B182" s="2" t="n"/>
      <c r="C182" s="2" t="n"/>
      <c r="D182" s="2" t="n"/>
      <c r="E182" s="2" t="n"/>
      <c r="F182" s="2" t="n"/>
      <c r="G182" s="2" t="n"/>
      <c r="H182" s="2" t="n"/>
      <c r="I182" s="2" t="n"/>
    </row>
    <row r="183" ht="15.75" customHeight="1" s="139">
      <c r="A183" s="2" t="n"/>
      <c r="B183" s="2" t="n"/>
      <c r="C183" s="2" t="n"/>
      <c r="D183" s="2" t="n"/>
      <c r="E183" s="2" t="n"/>
      <c r="F183" s="2" t="n"/>
      <c r="G183" s="2" t="n"/>
      <c r="H183" s="2" t="n"/>
      <c r="I183" s="2" t="n"/>
    </row>
    <row r="184" ht="15.75" customHeight="1" s="139">
      <c r="A184" s="2" t="n"/>
      <c r="B184" s="2" t="n"/>
      <c r="C184" s="2" t="n"/>
      <c r="D184" s="2" t="n"/>
      <c r="E184" s="2" t="n"/>
      <c r="F184" s="2" t="n"/>
      <c r="G184" s="2" t="n"/>
      <c r="H184" s="2" t="n"/>
      <c r="I184" s="2" t="n"/>
    </row>
    <row r="185" ht="15.75" customHeight="1" s="139">
      <c r="A185" s="2" t="n"/>
      <c r="B185" s="2" t="n"/>
      <c r="C185" s="2" t="n"/>
      <c r="D185" s="2" t="n"/>
      <c r="E185" s="2" t="n"/>
      <c r="F185" s="2" t="n"/>
      <c r="G185" s="2" t="n"/>
      <c r="H185" s="2" t="n"/>
      <c r="I185" s="2" t="n"/>
    </row>
    <row r="186" ht="15.75" customHeight="1" s="139">
      <c r="A186" s="2" t="n"/>
      <c r="B186" s="2" t="n"/>
      <c r="C186" s="2" t="n"/>
      <c r="D186" s="2" t="n"/>
      <c r="E186" s="2" t="n"/>
      <c r="F186" s="2" t="n"/>
      <c r="G186" s="2" t="n"/>
      <c r="H186" s="2" t="n"/>
      <c r="I186" s="2" t="n"/>
    </row>
    <row r="187" ht="15.75" customHeight="1" s="139">
      <c r="A187" s="2" t="n"/>
      <c r="B187" s="2" t="n"/>
      <c r="C187" s="2" t="n"/>
      <c r="D187" s="2" t="n"/>
      <c r="E187" s="2" t="n"/>
      <c r="F187" s="2" t="n"/>
      <c r="G187" s="2" t="n"/>
      <c r="H187" s="2" t="n"/>
      <c r="I187" s="2" t="n"/>
    </row>
    <row r="188" ht="15.75" customHeight="1" s="139">
      <c r="A188" s="2" t="n"/>
      <c r="B188" s="2" t="n"/>
      <c r="C188" s="2" t="n"/>
      <c r="D188" s="2" t="n"/>
      <c r="E188" s="2" t="n"/>
      <c r="F188" s="2" t="n"/>
      <c r="G188" s="2" t="n"/>
      <c r="H188" s="2" t="n"/>
      <c r="I188" s="2" t="n"/>
    </row>
    <row r="189" ht="15.75" customHeight="1" s="139">
      <c r="A189" s="2" t="n"/>
      <c r="B189" s="2" t="n"/>
      <c r="C189" s="2" t="n"/>
      <c r="D189" s="2" t="n"/>
      <c r="E189" s="2" t="n"/>
      <c r="F189" s="2" t="n"/>
      <c r="G189" s="2" t="n"/>
      <c r="H189" s="2" t="n"/>
      <c r="I189" s="2" t="n"/>
    </row>
    <row r="190" ht="15.75" customHeight="1" s="139">
      <c r="A190" s="2" t="n"/>
      <c r="B190" s="2" t="n"/>
      <c r="C190" s="2" t="n"/>
      <c r="D190" s="2" t="n"/>
      <c r="E190" s="2" t="n"/>
      <c r="F190" s="2" t="n"/>
      <c r="G190" s="2" t="n"/>
      <c r="H190" s="2" t="n"/>
      <c r="I190" s="2" t="n"/>
    </row>
    <row r="191" ht="15.75" customHeight="1" s="139">
      <c r="A191" s="2" t="n"/>
      <c r="B191" s="2" t="n"/>
      <c r="C191" s="2" t="n"/>
      <c r="D191" s="2" t="n"/>
      <c r="E191" s="2" t="n"/>
      <c r="F191" s="2" t="n"/>
      <c r="G191" s="2" t="n"/>
      <c r="H191" s="2" t="n"/>
      <c r="I191" s="2" t="n"/>
    </row>
    <row r="192" ht="15.75" customHeight="1" s="139">
      <c r="A192" s="2" t="n"/>
      <c r="B192" s="2" t="n"/>
      <c r="C192" s="2" t="n"/>
      <c r="D192" s="2" t="n"/>
      <c r="E192" s="2" t="n"/>
      <c r="F192" s="2" t="n"/>
      <c r="G192" s="2" t="n"/>
      <c r="H192" s="2" t="n"/>
      <c r="I192" s="2" t="n"/>
    </row>
    <row r="193" ht="15.75" customHeight="1" s="139">
      <c r="A193" s="2" t="n"/>
      <c r="B193" s="2" t="n"/>
      <c r="C193" s="2" t="n"/>
      <c r="D193" s="2" t="n"/>
      <c r="E193" s="2" t="n"/>
      <c r="F193" s="2" t="n"/>
      <c r="G193" s="2" t="n"/>
      <c r="H193" s="2" t="n"/>
      <c r="I193" s="2" t="n"/>
    </row>
    <row r="194" ht="15.75" customHeight="1" s="139">
      <c r="A194" s="2" t="n"/>
      <c r="B194" s="2" t="n"/>
      <c r="C194" s="2" t="n"/>
      <c r="D194" s="2" t="n"/>
      <c r="E194" s="2" t="n"/>
      <c r="F194" s="2" t="n"/>
      <c r="G194" s="2" t="n"/>
      <c r="H194" s="2" t="n"/>
      <c r="I194" s="2" t="n"/>
    </row>
    <row r="195" ht="15.75" customHeight="1" s="139">
      <c r="A195" s="2" t="n"/>
      <c r="B195" s="2" t="n"/>
      <c r="C195" s="2" t="n"/>
      <c r="D195" s="2" t="n"/>
      <c r="E195" s="2" t="n"/>
      <c r="F195" s="2" t="n"/>
      <c r="G195" s="2" t="n"/>
      <c r="H195" s="2" t="n"/>
      <c r="I195" s="2" t="n"/>
    </row>
    <row r="196" ht="15.75" customHeight="1" s="139">
      <c r="A196" s="2" t="n"/>
      <c r="B196" s="2" t="n"/>
      <c r="C196" s="2" t="n"/>
      <c r="D196" s="2" t="n"/>
      <c r="E196" s="2" t="n"/>
      <c r="F196" s="2" t="n"/>
      <c r="G196" s="2" t="n"/>
      <c r="H196" s="2" t="n"/>
      <c r="I196" s="2" t="n"/>
    </row>
    <row r="197" ht="15.75" customHeight="1" s="139">
      <c r="A197" s="2" t="n"/>
      <c r="B197" s="2" t="n"/>
      <c r="C197" s="2" t="n"/>
      <c r="D197" s="2" t="n"/>
      <c r="E197" s="2" t="n"/>
      <c r="F197" s="2" t="n"/>
      <c r="G197" s="2" t="n"/>
      <c r="H197" s="2" t="n"/>
      <c r="I197" s="2" t="n"/>
    </row>
    <row r="198" ht="15.75" customHeight="1" s="139">
      <c r="A198" s="2" t="n"/>
      <c r="B198" s="2" t="n"/>
      <c r="C198" s="2" t="n"/>
      <c r="D198" s="2" t="n"/>
      <c r="E198" s="2" t="n"/>
      <c r="F198" s="2" t="n"/>
      <c r="G198" s="2" t="n"/>
      <c r="H198" s="2" t="n"/>
      <c r="I198" s="2" t="n"/>
    </row>
    <row r="199" ht="15.75" customHeight="1" s="139">
      <c r="A199" s="2" t="n"/>
      <c r="B199" s="2" t="n"/>
      <c r="C199" s="2" t="n"/>
      <c r="D199" s="2" t="n"/>
      <c r="E199" s="2" t="n"/>
      <c r="F199" s="2" t="n"/>
      <c r="G199" s="2" t="n"/>
      <c r="H199" s="2" t="n"/>
      <c r="I199" s="2" t="n"/>
    </row>
    <row r="200" ht="15.75" customHeight="1" s="139">
      <c r="A200" s="2" t="n"/>
      <c r="B200" s="2" t="n"/>
      <c r="C200" s="2" t="n"/>
      <c r="D200" s="2" t="n"/>
      <c r="E200" s="2" t="n"/>
      <c r="F200" s="2" t="n"/>
      <c r="G200" s="2" t="n"/>
      <c r="H200" s="2" t="n"/>
      <c r="I200" s="2" t="n"/>
    </row>
    <row r="201" ht="15.75" customHeight="1" s="139">
      <c r="A201" s="2" t="n"/>
      <c r="B201" s="2" t="n"/>
      <c r="C201" s="2" t="n"/>
      <c r="D201" s="2" t="n"/>
      <c r="E201" s="2" t="n"/>
      <c r="F201" s="2" t="n"/>
      <c r="G201" s="2" t="n"/>
      <c r="H201" s="2" t="n"/>
      <c r="I201" s="2" t="n"/>
    </row>
    <row r="202" ht="15.75" customHeight="1" s="139">
      <c r="A202" s="2" t="n"/>
      <c r="B202" s="2" t="n"/>
      <c r="C202" s="2" t="n"/>
      <c r="D202" s="2" t="n"/>
      <c r="E202" s="2" t="n"/>
      <c r="F202" s="2" t="n"/>
      <c r="G202" s="2" t="n"/>
      <c r="H202" s="2" t="n"/>
      <c r="I202" s="2" t="n"/>
    </row>
    <row r="203" ht="15.75" customHeight="1" s="139">
      <c r="A203" s="2" t="n"/>
      <c r="B203" s="2" t="n"/>
      <c r="C203" s="2" t="n"/>
      <c r="D203" s="2" t="n"/>
      <c r="E203" s="2" t="n"/>
      <c r="F203" s="2" t="n"/>
      <c r="G203" s="2" t="n"/>
      <c r="H203" s="2" t="n"/>
      <c r="I203" s="2" t="n"/>
    </row>
    <row r="204" ht="15.75" customHeight="1" s="139">
      <c r="A204" s="2" t="n"/>
      <c r="B204" s="2" t="n"/>
      <c r="C204" s="2" t="n"/>
      <c r="D204" s="2" t="n"/>
      <c r="E204" s="2" t="n"/>
      <c r="F204" s="2" t="n"/>
      <c r="G204" s="2" t="n"/>
      <c r="H204" s="2" t="n"/>
      <c r="I204" s="2" t="n"/>
    </row>
    <row r="205" ht="15.75" customHeight="1" s="139">
      <c r="A205" s="2" t="n"/>
      <c r="B205" s="2" t="n"/>
      <c r="C205" s="2" t="n"/>
      <c r="D205" s="2" t="n"/>
      <c r="E205" s="2" t="n"/>
      <c r="F205" s="2" t="n"/>
      <c r="G205" s="2" t="n"/>
      <c r="H205" s="2" t="n"/>
      <c r="I205" s="2" t="n"/>
    </row>
    <row r="206" ht="15.75" customHeight="1" s="139">
      <c r="A206" s="2" t="n"/>
      <c r="B206" s="2" t="n"/>
      <c r="C206" s="2" t="n"/>
      <c r="D206" s="2" t="n"/>
      <c r="E206" s="2" t="n"/>
      <c r="F206" s="2" t="n"/>
      <c r="G206" s="2" t="n"/>
      <c r="H206" s="2" t="n"/>
      <c r="I206" s="2" t="n"/>
    </row>
    <row r="207" ht="15.75" customHeight="1" s="139">
      <c r="A207" s="2" t="n"/>
      <c r="B207" s="2" t="n"/>
      <c r="C207" s="2" t="n"/>
      <c r="D207" s="2" t="n"/>
      <c r="E207" s="2" t="n"/>
      <c r="F207" s="2" t="n"/>
      <c r="G207" s="2" t="n"/>
      <c r="H207" s="2" t="n"/>
      <c r="I207" s="2" t="n"/>
    </row>
    <row r="208" ht="15.75" customHeight="1" s="139">
      <c r="A208" s="2" t="n"/>
      <c r="B208" s="2" t="n"/>
      <c r="C208" s="2" t="n"/>
      <c r="D208" s="2" t="n"/>
      <c r="E208" s="2" t="n"/>
      <c r="F208" s="2" t="n"/>
      <c r="G208" s="2" t="n"/>
      <c r="H208" s="2" t="n"/>
      <c r="I208" s="2" t="n"/>
    </row>
    <row r="209" ht="15.75" customHeight="1" s="139">
      <c r="A209" s="2" t="n"/>
      <c r="B209" s="2" t="n"/>
      <c r="C209" s="2" t="n"/>
      <c r="D209" s="2" t="n"/>
      <c r="E209" s="2" t="n"/>
      <c r="F209" s="2" t="n"/>
      <c r="G209" s="2" t="n"/>
      <c r="H209" s="2" t="n"/>
      <c r="I209" s="2" t="n"/>
    </row>
    <row r="210" ht="15.75" customHeight="1" s="139">
      <c r="A210" s="2" t="n"/>
      <c r="B210" s="2" t="n"/>
      <c r="C210" s="2" t="n"/>
      <c r="D210" s="2" t="n"/>
      <c r="E210" s="2" t="n"/>
      <c r="F210" s="2" t="n"/>
      <c r="G210" s="2" t="n"/>
      <c r="H210" s="2" t="n"/>
      <c r="I210" s="2" t="n"/>
    </row>
    <row r="211" ht="15.75" customHeight="1" s="139">
      <c r="A211" s="2" t="n"/>
      <c r="B211" s="2" t="n"/>
      <c r="C211" s="2" t="n"/>
      <c r="D211" s="2" t="n"/>
      <c r="E211" s="2" t="n"/>
      <c r="F211" s="2" t="n"/>
      <c r="G211" s="2" t="n"/>
      <c r="H211" s="2" t="n"/>
      <c r="I211" s="2" t="n"/>
    </row>
    <row r="212" ht="15.75" customHeight="1" s="139">
      <c r="A212" s="2" t="n"/>
      <c r="B212" s="2" t="n"/>
      <c r="C212" s="2" t="n"/>
      <c r="D212" s="2" t="n"/>
      <c r="E212" s="2" t="n"/>
      <c r="F212" s="2" t="n"/>
      <c r="G212" s="2" t="n"/>
      <c r="H212" s="2" t="n"/>
      <c r="I212" s="2" t="n"/>
    </row>
    <row r="213" ht="15.75" customHeight="1" s="139">
      <c r="A213" s="2" t="n"/>
      <c r="B213" s="2" t="n"/>
      <c r="C213" s="2" t="n"/>
      <c r="D213" s="2" t="n"/>
      <c r="E213" s="2" t="n"/>
      <c r="F213" s="2" t="n"/>
      <c r="G213" s="2" t="n"/>
      <c r="H213" s="2" t="n"/>
      <c r="I213" s="2" t="n"/>
    </row>
    <row r="214" ht="15.75" customHeight="1" s="139">
      <c r="A214" s="2" t="n"/>
      <c r="B214" s="2" t="n"/>
      <c r="C214" s="2" t="n"/>
      <c r="D214" s="2" t="n"/>
      <c r="E214" s="2" t="n"/>
      <c r="F214" s="2" t="n"/>
      <c r="G214" s="2" t="n"/>
      <c r="H214" s="2" t="n"/>
      <c r="I214" s="2" t="n"/>
    </row>
    <row r="215" ht="15.75" customHeight="1" s="139">
      <c r="A215" s="2" t="n"/>
      <c r="B215" s="2" t="n"/>
      <c r="C215" s="2" t="n"/>
      <c r="D215" s="2" t="n"/>
      <c r="E215" s="2" t="n"/>
      <c r="F215" s="2" t="n"/>
      <c r="G215" s="2" t="n"/>
      <c r="H215" s="2" t="n"/>
      <c r="I215" s="2" t="n"/>
    </row>
    <row r="216" ht="15.75" customHeight="1" s="139">
      <c r="A216" s="2" t="n"/>
      <c r="B216" s="2" t="n"/>
      <c r="C216" s="2" t="n"/>
      <c r="D216" s="2" t="n"/>
      <c r="E216" s="2" t="n"/>
      <c r="F216" s="2" t="n"/>
      <c r="G216" s="2" t="n"/>
      <c r="H216" s="2" t="n"/>
      <c r="I216" s="2" t="n"/>
    </row>
    <row r="217" ht="15.75" customHeight="1" s="139">
      <c r="A217" s="2" t="n"/>
      <c r="B217" s="2" t="n"/>
      <c r="C217" s="2" t="n"/>
      <c r="D217" s="2" t="n"/>
      <c r="E217" s="2" t="n"/>
      <c r="F217" s="2" t="n"/>
      <c r="G217" s="2" t="n"/>
      <c r="H217" s="2" t="n"/>
      <c r="I217" s="2" t="n"/>
    </row>
    <row r="218" ht="15.75" customHeight="1" s="139">
      <c r="A218" s="2" t="n"/>
      <c r="B218" s="2" t="n"/>
      <c r="C218" s="2" t="n"/>
      <c r="D218" s="2" t="n"/>
      <c r="E218" s="2" t="n"/>
      <c r="F218" s="2" t="n"/>
      <c r="G218" s="2" t="n"/>
      <c r="H218" s="2" t="n"/>
      <c r="I218" s="2" t="n"/>
    </row>
    <row r="219" ht="15.75" customHeight="1" s="139">
      <c r="A219" s="2" t="n"/>
      <c r="B219" s="2" t="n"/>
      <c r="C219" s="2" t="n"/>
      <c r="D219" s="2" t="n"/>
      <c r="E219" s="2" t="n"/>
      <c r="F219" s="2" t="n"/>
      <c r="G219" s="2" t="n"/>
      <c r="H219" s="2" t="n"/>
      <c r="I219" s="2" t="n"/>
    </row>
    <row r="220" ht="15.75" customHeight="1" s="139">
      <c r="A220" s="2" t="n"/>
      <c r="B220" s="2" t="n"/>
      <c r="C220" s="2" t="n"/>
      <c r="D220" s="2" t="n"/>
      <c r="E220" s="2" t="n"/>
      <c r="F220" s="2" t="n"/>
      <c r="G220" s="2" t="n"/>
      <c r="H220" s="2" t="n"/>
      <c r="I220" s="2" t="n"/>
    </row>
    <row r="221" ht="15.75" customHeight="1" s="139">
      <c r="A221" s="2" t="n"/>
      <c r="B221" s="2" t="n"/>
      <c r="C221" s="2" t="n"/>
      <c r="D221" s="2" t="n"/>
      <c r="E221" s="2" t="n"/>
      <c r="F221" s="2" t="n"/>
      <c r="G221" s="2" t="n"/>
      <c r="H221" s="2" t="n"/>
      <c r="I221" s="2" t="n"/>
    </row>
    <row r="222" ht="15.75" customHeight="1" s="139">
      <c r="A222" s="2" t="n"/>
      <c r="B222" s="2" t="n"/>
      <c r="C222" s="2" t="n"/>
      <c r="D222" s="2" t="n"/>
      <c r="E222" s="2" t="n"/>
      <c r="F222" s="2" t="n"/>
      <c r="G222" s="2" t="n"/>
      <c r="H222" s="2" t="n"/>
      <c r="I222" s="2" t="n"/>
    </row>
    <row r="223" ht="15.75" customHeight="1" s="139">
      <c r="A223" s="2" t="n"/>
      <c r="B223" s="2" t="n"/>
      <c r="C223" s="2" t="n"/>
      <c r="D223" s="2" t="n"/>
      <c r="E223" s="2" t="n"/>
      <c r="F223" s="2" t="n"/>
      <c r="G223" s="2" t="n"/>
      <c r="H223" s="2" t="n"/>
      <c r="I223" s="2" t="n"/>
    </row>
    <row r="224" ht="15.75" customHeight="1" s="139">
      <c r="A224" s="2" t="n"/>
      <c r="B224" s="2" t="n"/>
      <c r="C224" s="2" t="n"/>
      <c r="D224" s="2" t="n"/>
      <c r="E224" s="2" t="n"/>
      <c r="F224" s="2" t="n"/>
      <c r="G224" s="2" t="n"/>
      <c r="H224" s="2" t="n"/>
      <c r="I224" s="2" t="n"/>
    </row>
    <row r="225" ht="15.75" customHeight="1" s="139">
      <c r="A225" s="2" t="n"/>
      <c r="B225" s="2" t="n"/>
      <c r="C225" s="2" t="n"/>
      <c r="D225" s="2" t="n"/>
      <c r="E225" s="2" t="n"/>
      <c r="F225" s="2" t="n"/>
      <c r="G225" s="2" t="n"/>
      <c r="H225" s="2" t="n"/>
      <c r="I225" s="2" t="n"/>
    </row>
    <row r="226" ht="15.75" customHeight="1" s="139">
      <c r="A226" s="2" t="n"/>
      <c r="B226" s="2" t="n"/>
      <c r="C226" s="2" t="n"/>
      <c r="D226" s="2" t="n"/>
      <c r="E226" s="2" t="n"/>
      <c r="F226" s="2" t="n"/>
      <c r="G226" s="2" t="n"/>
      <c r="H226" s="2" t="n"/>
      <c r="I226" s="2" t="n"/>
    </row>
    <row r="227" ht="15.75" customHeight="1" s="139">
      <c r="A227" s="2" t="n"/>
      <c r="B227" s="2" t="n"/>
      <c r="C227" s="2" t="n"/>
      <c r="D227" s="2" t="n"/>
      <c r="E227" s="2" t="n"/>
      <c r="F227" s="2" t="n"/>
      <c r="G227" s="2" t="n"/>
      <c r="H227" s="2" t="n"/>
      <c r="I227" s="2" t="n"/>
    </row>
    <row r="228" ht="15.75" customHeight="1" s="139">
      <c r="A228" s="2" t="n"/>
      <c r="B228" s="2" t="n"/>
      <c r="C228" s="2" t="n"/>
      <c r="D228" s="2" t="n"/>
      <c r="E228" s="2" t="n"/>
      <c r="F228" s="2" t="n"/>
      <c r="G228" s="2" t="n"/>
      <c r="H228" s="2" t="n"/>
      <c r="I228" s="2" t="n"/>
    </row>
    <row r="229" ht="15.75" customHeight="1" s="139">
      <c r="A229" s="2" t="n"/>
      <c r="B229" s="2" t="n"/>
      <c r="C229" s="2" t="n"/>
      <c r="D229" s="2" t="n"/>
      <c r="E229" s="2" t="n"/>
      <c r="F229" s="2" t="n"/>
      <c r="G229" s="2" t="n"/>
      <c r="H229" s="2" t="n"/>
      <c r="I229" s="2" t="n"/>
    </row>
    <row r="230" ht="15.75" customHeight="1" s="139">
      <c r="A230" s="2" t="n"/>
      <c r="B230" s="2" t="n"/>
      <c r="C230" s="2" t="n"/>
      <c r="D230" s="2" t="n"/>
      <c r="E230" s="2" t="n"/>
      <c r="F230" s="2" t="n"/>
      <c r="G230" s="2" t="n"/>
      <c r="H230" s="2" t="n"/>
      <c r="I230" s="2" t="n"/>
    </row>
    <row r="231" ht="15.75" customHeight="1" s="139">
      <c r="A231" s="2" t="n"/>
      <c r="B231" s="2" t="n"/>
      <c r="C231" s="2" t="n"/>
      <c r="D231" s="2" t="n"/>
      <c r="E231" s="2" t="n"/>
      <c r="F231" s="2" t="n"/>
      <c r="G231" s="2" t="n"/>
      <c r="H231" s="2" t="n"/>
      <c r="I231" s="2" t="n"/>
    </row>
    <row r="232" ht="15.75" customHeight="1" s="139">
      <c r="A232" s="2" t="n"/>
      <c r="B232" s="2" t="n"/>
      <c r="C232" s="2" t="n"/>
      <c r="D232" s="2" t="n"/>
      <c r="E232" s="2" t="n"/>
      <c r="F232" s="2" t="n"/>
      <c r="G232" s="2" t="n"/>
      <c r="H232" s="2" t="n"/>
      <c r="I232" s="2" t="n"/>
    </row>
    <row r="233" ht="15.75" customHeight="1" s="139">
      <c r="A233" s="2" t="n"/>
      <c r="B233" s="2" t="n"/>
      <c r="C233" s="2" t="n"/>
      <c r="D233" s="2" t="n"/>
      <c r="E233" s="2" t="n"/>
      <c r="F233" s="2" t="n"/>
      <c r="G233" s="2" t="n"/>
      <c r="H233" s="2" t="n"/>
      <c r="I233" s="2" t="n"/>
    </row>
    <row r="234" ht="15.75" customHeight="1" s="139">
      <c r="A234" s="2" t="n"/>
      <c r="B234" s="2" t="n"/>
      <c r="C234" s="2" t="n"/>
      <c r="D234" s="2" t="n"/>
      <c r="E234" s="2" t="n"/>
      <c r="F234" s="2" t="n"/>
      <c r="G234" s="2" t="n"/>
      <c r="H234" s="2" t="n"/>
      <c r="I234" s="2" t="n"/>
    </row>
    <row r="235" ht="15.75" customHeight="1" s="139">
      <c r="A235" s="2" t="n"/>
      <c r="B235" s="2" t="n"/>
      <c r="C235" s="2" t="n"/>
      <c r="D235" s="2" t="n"/>
      <c r="E235" s="2" t="n"/>
      <c r="F235" s="2" t="n"/>
      <c r="G235" s="2" t="n"/>
      <c r="H235" s="2" t="n"/>
      <c r="I235" s="2" t="n"/>
    </row>
    <row r="236" ht="15.75" customHeight="1" s="139">
      <c r="A236" s="2" t="n"/>
      <c r="B236" s="2" t="n"/>
      <c r="C236" s="2" t="n"/>
      <c r="D236" s="2" t="n"/>
      <c r="E236" s="2" t="n"/>
      <c r="F236" s="2" t="n"/>
      <c r="G236" s="2" t="n"/>
      <c r="H236" s="2" t="n"/>
      <c r="I236" s="2" t="n"/>
    </row>
    <row r="237" ht="15.75" customHeight="1" s="139">
      <c r="A237" s="2" t="n"/>
      <c r="B237" s="2" t="n"/>
      <c r="C237" s="2" t="n"/>
      <c r="D237" s="2" t="n"/>
      <c r="E237" s="2" t="n"/>
      <c r="F237" s="2" t="n"/>
      <c r="G237" s="2" t="n"/>
      <c r="H237" s="2" t="n"/>
      <c r="I237" s="2" t="n"/>
    </row>
    <row r="238" ht="15.75" customHeight="1" s="139">
      <c r="A238" s="2" t="n"/>
      <c r="B238" s="2" t="n"/>
      <c r="C238" s="2" t="n"/>
      <c r="D238" s="2" t="n"/>
      <c r="E238" s="2" t="n"/>
      <c r="F238" s="2" t="n"/>
      <c r="G238" s="2" t="n"/>
      <c r="H238" s="2" t="n"/>
      <c r="I238" s="2" t="n"/>
    </row>
    <row r="239" ht="15.75" customHeight="1" s="139">
      <c r="A239" s="2" t="n"/>
      <c r="B239" s="2" t="n"/>
      <c r="C239" s="2" t="n"/>
      <c r="D239" s="2" t="n"/>
      <c r="E239" s="2" t="n"/>
      <c r="F239" s="2" t="n"/>
      <c r="G239" s="2" t="n"/>
      <c r="H239" s="2" t="n"/>
      <c r="I239" s="2" t="n"/>
    </row>
    <row r="240" ht="15.75" customHeight="1" s="139">
      <c r="A240" s="2" t="n"/>
      <c r="B240" s="2" t="n"/>
      <c r="C240" s="2" t="n"/>
      <c r="D240" s="2" t="n"/>
      <c r="E240" s="2" t="n"/>
      <c r="F240" s="2" t="n"/>
      <c r="G240" s="2" t="n"/>
      <c r="H240" s="2" t="n"/>
      <c r="I240" s="2" t="n"/>
    </row>
    <row r="241" ht="15.75" customHeight="1" s="139">
      <c r="A241" s="2" t="n"/>
      <c r="B241" s="2" t="n"/>
      <c r="C241" s="2" t="n"/>
      <c r="D241" s="2" t="n"/>
      <c r="E241" s="2" t="n"/>
      <c r="F241" s="2" t="n"/>
      <c r="G241" s="2" t="n"/>
      <c r="H241" s="2" t="n"/>
      <c r="I241" s="2" t="n"/>
    </row>
    <row r="242" ht="15.75" customHeight="1" s="139">
      <c r="A242" s="2" t="n"/>
      <c r="B242" s="2" t="n"/>
      <c r="C242" s="2" t="n"/>
      <c r="D242" s="2" t="n"/>
      <c r="E242" s="2" t="n"/>
      <c r="F242" s="2" t="n"/>
      <c r="G242" s="2" t="n"/>
      <c r="H242" s="2" t="n"/>
      <c r="I242" s="2" t="n"/>
    </row>
    <row r="243" ht="15.75" customHeight="1" s="139">
      <c r="A243" s="2" t="n"/>
      <c r="B243" s="2" t="n"/>
      <c r="C243" s="2" t="n"/>
      <c r="D243" s="2" t="n"/>
      <c r="E243" s="2" t="n"/>
      <c r="F243" s="2" t="n"/>
      <c r="G243" s="2" t="n"/>
      <c r="H243" s="2" t="n"/>
      <c r="I243" s="2" t="n"/>
    </row>
    <row r="244" ht="15.75" customHeight="1" s="139">
      <c r="A244" s="2" t="n"/>
      <c r="B244" s="2" t="n"/>
      <c r="C244" s="2" t="n"/>
      <c r="D244" s="2" t="n"/>
      <c r="E244" s="2" t="n"/>
      <c r="F244" s="2" t="n"/>
      <c r="G244" s="2" t="n"/>
      <c r="H244" s="2" t="n"/>
      <c r="I244" s="2" t="n"/>
    </row>
    <row r="245" ht="15.75" customHeight="1" s="139">
      <c r="A245" s="2" t="n"/>
      <c r="B245" s="2" t="n"/>
      <c r="C245" s="2" t="n"/>
      <c r="D245" s="2" t="n"/>
      <c r="E245" s="2" t="n"/>
      <c r="F245" s="2" t="n"/>
      <c r="G245" s="2" t="n"/>
      <c r="H245" s="2" t="n"/>
      <c r="I245" s="2" t="n"/>
    </row>
    <row r="246" ht="15.75" customHeight="1" s="139">
      <c r="A246" s="2" t="n"/>
      <c r="B246" s="2" t="n"/>
      <c r="C246" s="2" t="n"/>
      <c r="D246" s="2" t="n"/>
      <c r="E246" s="2" t="n"/>
      <c r="F246" s="2" t="n"/>
      <c r="G246" s="2" t="n"/>
      <c r="H246" s="2" t="n"/>
      <c r="I246" s="2" t="n"/>
    </row>
    <row r="247" ht="15.75" customHeight="1" s="139">
      <c r="A247" s="2" t="n"/>
      <c r="B247" s="2" t="n"/>
      <c r="C247" s="2" t="n"/>
      <c r="D247" s="2" t="n"/>
      <c r="E247" s="2" t="n"/>
      <c r="F247" s="2" t="n"/>
      <c r="G247" s="2" t="n"/>
      <c r="H247" s="2" t="n"/>
      <c r="I247" s="2" t="n"/>
    </row>
    <row r="248" ht="15.75" customHeight="1" s="139">
      <c r="A248" s="2" t="n"/>
      <c r="B248" s="2" t="n"/>
      <c r="C248" s="2" t="n"/>
      <c r="D248" s="2" t="n"/>
      <c r="E248" s="2" t="n"/>
      <c r="F248" s="2" t="n"/>
      <c r="G248" s="2" t="n"/>
      <c r="H248" s="2" t="n"/>
      <c r="I248" s="2" t="n"/>
    </row>
    <row r="249" ht="15.75" customHeight="1" s="139">
      <c r="A249" s="2" t="n"/>
      <c r="B249" s="2" t="n"/>
      <c r="C249" s="2" t="n"/>
      <c r="D249" s="2" t="n"/>
      <c r="E249" s="2" t="n"/>
      <c r="F249" s="2" t="n"/>
      <c r="G249" s="2" t="n"/>
      <c r="H249" s="2" t="n"/>
      <c r="I249" s="2" t="n"/>
    </row>
    <row r="250" ht="15.75" customHeight="1" s="139">
      <c r="A250" s="2" t="n"/>
      <c r="B250" s="2" t="n"/>
      <c r="C250" s="2" t="n"/>
      <c r="D250" s="2" t="n"/>
      <c r="E250" s="2" t="n"/>
      <c r="F250" s="2" t="n"/>
      <c r="G250" s="2" t="n"/>
      <c r="H250" s="2" t="n"/>
      <c r="I250" s="2" t="n"/>
    </row>
    <row r="251" ht="15.75" customHeight="1" s="139">
      <c r="A251" s="2" t="n"/>
      <c r="B251" s="2" t="n"/>
      <c r="C251" s="2" t="n"/>
      <c r="D251" s="2" t="n"/>
      <c r="E251" s="2" t="n"/>
      <c r="F251" s="2" t="n"/>
      <c r="G251" s="2" t="n"/>
      <c r="H251" s="2" t="n"/>
      <c r="I251" s="2" t="n"/>
    </row>
    <row r="252" ht="15.75" customHeight="1" s="139">
      <c r="A252" s="2" t="n"/>
      <c r="B252" s="2" t="n"/>
      <c r="C252" s="2" t="n"/>
      <c r="D252" s="2" t="n"/>
      <c r="E252" s="2" t="n"/>
      <c r="F252" s="2" t="n"/>
      <c r="G252" s="2" t="n"/>
      <c r="H252" s="2" t="n"/>
      <c r="I252" s="2" t="n"/>
    </row>
    <row r="253" ht="15.75" customHeight="1" s="139">
      <c r="A253" s="2" t="n"/>
      <c r="B253" s="2" t="n"/>
      <c r="C253" s="2" t="n"/>
      <c r="D253" s="2" t="n"/>
      <c r="E253" s="2" t="n"/>
      <c r="F253" s="2" t="n"/>
      <c r="G253" s="2" t="n"/>
      <c r="H253" s="2" t="n"/>
      <c r="I253" s="2" t="n"/>
    </row>
    <row r="254" ht="15.75" customHeight="1" s="139">
      <c r="A254" s="2" t="n"/>
      <c r="B254" s="2" t="n"/>
      <c r="C254" s="2" t="n"/>
      <c r="D254" s="2" t="n"/>
      <c r="E254" s="2" t="n"/>
      <c r="F254" s="2" t="n"/>
      <c r="G254" s="2" t="n"/>
      <c r="H254" s="2" t="n"/>
      <c r="I254" s="2" t="n"/>
    </row>
    <row r="255" ht="15.75" customHeight="1" s="139">
      <c r="A255" s="2" t="n"/>
      <c r="B255" s="2" t="n"/>
      <c r="C255" s="2" t="n"/>
      <c r="D255" s="2" t="n"/>
      <c r="E255" s="2" t="n"/>
      <c r="F255" s="2" t="n"/>
      <c r="G255" s="2" t="n"/>
      <c r="H255" s="2" t="n"/>
      <c r="I255" s="2" t="n"/>
    </row>
    <row r="256" ht="15.75" customHeight="1" s="139">
      <c r="A256" s="2" t="n"/>
      <c r="B256" s="2" t="n"/>
      <c r="C256" s="2" t="n"/>
      <c r="D256" s="2" t="n"/>
      <c r="E256" s="2" t="n"/>
      <c r="F256" s="2" t="n"/>
      <c r="G256" s="2" t="n"/>
      <c r="H256" s="2" t="n"/>
      <c r="I256" s="2" t="n"/>
    </row>
    <row r="257" ht="15.75" customHeight="1" s="139">
      <c r="A257" s="2" t="n"/>
      <c r="B257" s="2" t="n"/>
      <c r="C257" s="2" t="n"/>
      <c r="D257" s="2" t="n"/>
      <c r="E257" s="2" t="n"/>
      <c r="F257" s="2" t="n"/>
      <c r="G257" s="2" t="n"/>
      <c r="H257" s="2" t="n"/>
      <c r="I257" s="2" t="n"/>
    </row>
    <row r="258" ht="15.75" customHeight="1" s="139">
      <c r="A258" s="2" t="n"/>
      <c r="B258" s="2" t="n"/>
      <c r="C258" s="2" t="n"/>
      <c r="D258" s="2" t="n"/>
      <c r="E258" s="2" t="n"/>
      <c r="F258" s="2" t="n"/>
      <c r="G258" s="2" t="n"/>
      <c r="H258" s="2" t="n"/>
      <c r="I258" s="2" t="n"/>
    </row>
    <row r="259" ht="15.75" customHeight="1" s="139">
      <c r="A259" s="2" t="n"/>
      <c r="B259" s="2" t="n"/>
      <c r="C259" s="2" t="n"/>
      <c r="D259" s="2" t="n"/>
      <c r="E259" s="2" t="n"/>
      <c r="F259" s="2" t="n"/>
      <c r="G259" s="2" t="n"/>
      <c r="H259" s="2" t="n"/>
      <c r="I259" s="2" t="n"/>
    </row>
    <row r="260" ht="15.75" customHeight="1" s="139">
      <c r="A260" s="2" t="n"/>
      <c r="B260" s="2" t="n"/>
      <c r="C260" s="2" t="n"/>
      <c r="D260" s="2" t="n"/>
      <c r="E260" s="2" t="n"/>
      <c r="F260" s="2" t="n"/>
      <c r="G260" s="2" t="n"/>
      <c r="H260" s="2" t="n"/>
      <c r="I260" s="2" t="n"/>
    </row>
    <row r="261" ht="15.75" customHeight="1" s="139">
      <c r="A261" s="2" t="n"/>
      <c r="B261" s="2" t="n"/>
      <c r="C261" s="2" t="n"/>
      <c r="D261" s="2" t="n"/>
      <c r="E261" s="2" t="n"/>
      <c r="F261" s="2" t="n"/>
      <c r="G261" s="2" t="n"/>
      <c r="H261" s="2" t="n"/>
      <c r="I261" s="2" t="n"/>
    </row>
    <row r="262" ht="15.75" customHeight="1" s="139">
      <c r="A262" s="2" t="n"/>
      <c r="B262" s="2" t="n"/>
      <c r="C262" s="2" t="n"/>
      <c r="D262" s="2" t="n"/>
      <c r="E262" s="2" t="n"/>
      <c r="F262" s="2" t="n"/>
      <c r="G262" s="2" t="n"/>
      <c r="H262" s="2" t="n"/>
      <c r="I262" s="2" t="n"/>
    </row>
    <row r="263" ht="15.75" customHeight="1" s="139">
      <c r="A263" s="2" t="n"/>
      <c r="B263" s="2" t="n"/>
      <c r="C263" s="2" t="n"/>
      <c r="D263" s="2" t="n"/>
      <c r="E263" s="2" t="n"/>
      <c r="F263" s="2" t="n"/>
      <c r="G263" s="2" t="n"/>
      <c r="H263" s="2" t="n"/>
      <c r="I263" s="2" t="n"/>
    </row>
    <row r="264" ht="15.75" customHeight="1" s="139">
      <c r="A264" s="2" t="n"/>
      <c r="B264" s="2" t="n"/>
      <c r="C264" s="2" t="n"/>
      <c r="D264" s="2" t="n"/>
      <c r="E264" s="2" t="n"/>
      <c r="F264" s="2" t="n"/>
      <c r="G264" s="2" t="n"/>
      <c r="H264" s="2" t="n"/>
      <c r="I264" s="2" t="n"/>
    </row>
    <row r="265" ht="15.75" customHeight="1" s="139">
      <c r="A265" s="2" t="n"/>
      <c r="B265" s="2" t="n"/>
      <c r="C265" s="2" t="n"/>
      <c r="D265" s="2" t="n"/>
      <c r="E265" s="2" t="n"/>
      <c r="F265" s="2" t="n"/>
      <c r="G265" s="2" t="n"/>
      <c r="H265" s="2" t="n"/>
      <c r="I265" s="2" t="n"/>
    </row>
    <row r="266" ht="15.75" customHeight="1" s="139">
      <c r="A266" s="2" t="n"/>
      <c r="B266" s="2" t="n"/>
      <c r="C266" s="2" t="n"/>
      <c r="D266" s="2" t="n"/>
      <c r="E266" s="2" t="n"/>
      <c r="F266" s="2" t="n"/>
      <c r="G266" s="2" t="n"/>
      <c r="H266" s="2" t="n"/>
      <c r="I266" s="2" t="n"/>
    </row>
    <row r="267" ht="15.75" customHeight="1" s="139">
      <c r="A267" s="2" t="n"/>
      <c r="B267" s="2" t="n"/>
      <c r="C267" s="2" t="n"/>
      <c r="D267" s="2" t="n"/>
      <c r="E267" s="2" t="n"/>
      <c r="F267" s="2" t="n"/>
      <c r="G267" s="2" t="n"/>
      <c r="H267" s="2" t="n"/>
      <c r="I267" s="2" t="n"/>
    </row>
    <row r="268" ht="15.75" customHeight="1" s="139">
      <c r="A268" s="2" t="n"/>
      <c r="B268" s="2" t="n"/>
      <c r="C268" s="2" t="n"/>
      <c r="D268" s="2" t="n"/>
      <c r="E268" s="2" t="n"/>
      <c r="F268" s="2" t="n"/>
      <c r="G268" s="2" t="n"/>
      <c r="H268" s="2" t="n"/>
      <c r="I268" s="2" t="n"/>
    </row>
    <row r="269" ht="15.75" customHeight="1" s="139">
      <c r="A269" s="2" t="n"/>
      <c r="B269" s="2" t="n"/>
      <c r="C269" s="2" t="n"/>
      <c r="D269" s="2" t="n"/>
      <c r="E269" s="2" t="n"/>
      <c r="F269" s="2" t="n"/>
      <c r="G269" s="2" t="n"/>
      <c r="H269" s="2" t="n"/>
      <c r="I269" s="2" t="n"/>
    </row>
    <row r="270" ht="15.75" customHeight="1" s="139">
      <c r="A270" s="2" t="n"/>
      <c r="B270" s="2" t="n"/>
      <c r="C270" s="2" t="n"/>
      <c r="D270" s="2" t="n"/>
      <c r="E270" s="2" t="n"/>
      <c r="F270" s="2" t="n"/>
      <c r="G270" s="2" t="n"/>
      <c r="H270" s="2" t="n"/>
      <c r="I270" s="2" t="n"/>
    </row>
    <row r="271" ht="15.75" customHeight="1" s="139">
      <c r="A271" s="2" t="n"/>
      <c r="B271" s="2" t="n"/>
      <c r="C271" s="2" t="n"/>
      <c r="D271" s="2" t="n"/>
      <c r="E271" s="2" t="n"/>
      <c r="F271" s="2" t="n"/>
      <c r="G271" s="2" t="n"/>
      <c r="H271" s="2" t="n"/>
      <c r="I271" s="2" t="n"/>
    </row>
    <row r="272" ht="15.75" customHeight="1" s="139">
      <c r="A272" s="2" t="n"/>
      <c r="B272" s="2" t="n"/>
      <c r="C272" s="2" t="n"/>
      <c r="D272" s="2" t="n"/>
      <c r="E272" s="2" t="n"/>
      <c r="F272" s="2" t="n"/>
      <c r="G272" s="2" t="n"/>
      <c r="H272" s="2" t="n"/>
      <c r="I272" s="2" t="n"/>
    </row>
    <row r="273" ht="15.75" customHeight="1" s="139">
      <c r="A273" s="2" t="n"/>
      <c r="B273" s="2" t="n"/>
      <c r="C273" s="2" t="n"/>
      <c r="D273" s="2" t="n"/>
      <c r="E273" s="2" t="n"/>
      <c r="F273" s="2" t="n"/>
      <c r="G273" s="2" t="n"/>
      <c r="H273" s="2" t="n"/>
      <c r="I273" s="2" t="n"/>
    </row>
    <row r="274" ht="15.75" customHeight="1" s="139">
      <c r="A274" s="2" t="n"/>
      <c r="B274" s="2" t="n"/>
      <c r="C274" s="2" t="n"/>
      <c r="D274" s="2" t="n"/>
      <c r="E274" s="2" t="n"/>
      <c r="F274" s="2" t="n"/>
      <c r="G274" s="2" t="n"/>
      <c r="H274" s="2" t="n"/>
      <c r="I274" s="2" t="n"/>
    </row>
    <row r="275" ht="15.75" customHeight="1" s="139">
      <c r="A275" s="2" t="n"/>
      <c r="B275" s="2" t="n"/>
      <c r="C275" s="2" t="n"/>
      <c r="D275" s="2" t="n"/>
      <c r="E275" s="2" t="n"/>
      <c r="F275" s="2" t="n"/>
      <c r="G275" s="2" t="n"/>
      <c r="H275" s="2" t="n"/>
      <c r="I275" s="2" t="n"/>
    </row>
    <row r="276" ht="15.75" customHeight="1" s="139">
      <c r="A276" s="2" t="n"/>
      <c r="B276" s="2" t="n"/>
      <c r="C276" s="2" t="n"/>
      <c r="D276" s="2" t="n"/>
      <c r="E276" s="2" t="n"/>
      <c r="F276" s="2" t="n"/>
      <c r="G276" s="2" t="n"/>
      <c r="H276" s="2" t="n"/>
      <c r="I276" s="2" t="n"/>
    </row>
    <row r="277" ht="15.75" customHeight="1" s="139">
      <c r="A277" s="2" t="n"/>
      <c r="B277" s="2" t="n"/>
      <c r="C277" s="2" t="n"/>
      <c r="D277" s="2" t="n"/>
      <c r="E277" s="2" t="n"/>
      <c r="F277" s="2" t="n"/>
      <c r="G277" s="2" t="n"/>
      <c r="H277" s="2" t="n"/>
      <c r="I277" s="2" t="n"/>
    </row>
    <row r="278" ht="15.75" customHeight="1" s="139">
      <c r="A278" s="2" t="n"/>
      <c r="B278" s="2" t="n"/>
      <c r="C278" s="2" t="n"/>
      <c r="D278" s="2" t="n"/>
      <c r="E278" s="2" t="n"/>
      <c r="F278" s="2" t="n"/>
      <c r="G278" s="2" t="n"/>
      <c r="H278" s="2" t="n"/>
      <c r="I278" s="2" t="n"/>
    </row>
    <row r="279" ht="15.75" customHeight="1" s="139">
      <c r="A279" s="2" t="n"/>
      <c r="B279" s="2" t="n"/>
      <c r="C279" s="2" t="n"/>
      <c r="D279" s="2" t="n"/>
      <c r="E279" s="2" t="n"/>
      <c r="F279" s="2" t="n"/>
      <c r="G279" s="2" t="n"/>
      <c r="H279" s="2" t="n"/>
      <c r="I279" s="2" t="n"/>
    </row>
    <row r="280" ht="15.75" customHeight="1" s="139">
      <c r="A280" s="2" t="n"/>
      <c r="B280" s="2" t="n"/>
      <c r="C280" s="2" t="n"/>
      <c r="D280" s="2" t="n"/>
      <c r="E280" s="2" t="n"/>
      <c r="F280" s="2" t="n"/>
      <c r="G280" s="2" t="n"/>
      <c r="H280" s="2" t="n"/>
      <c r="I280" s="2" t="n"/>
    </row>
    <row r="281" ht="15.75" customHeight="1" s="139">
      <c r="A281" s="2" t="n"/>
      <c r="B281" s="2" t="n"/>
      <c r="C281" s="2" t="n"/>
      <c r="D281" s="2" t="n"/>
      <c r="E281" s="2" t="n"/>
      <c r="F281" s="2" t="n"/>
      <c r="G281" s="2" t="n"/>
      <c r="H281" s="2" t="n"/>
      <c r="I281" s="2" t="n"/>
    </row>
    <row r="282" ht="15.75" customHeight="1" s="139">
      <c r="A282" s="2" t="n"/>
      <c r="B282" s="2" t="n"/>
      <c r="C282" s="2" t="n"/>
      <c r="D282" s="2" t="n"/>
      <c r="E282" s="2" t="n"/>
      <c r="F282" s="2" t="n"/>
      <c r="G282" s="2" t="n"/>
      <c r="H282" s="2" t="n"/>
      <c r="I282" s="2" t="n"/>
    </row>
    <row r="283" ht="15.75" customHeight="1" s="139">
      <c r="A283" s="2" t="n"/>
      <c r="B283" s="2" t="n"/>
      <c r="C283" s="2" t="n"/>
      <c r="D283" s="2" t="n"/>
      <c r="E283" s="2" t="n"/>
      <c r="F283" s="2" t="n"/>
      <c r="G283" s="2" t="n"/>
      <c r="H283" s="2" t="n"/>
      <c r="I283" s="2" t="n"/>
    </row>
    <row r="284" ht="15.75" customHeight="1" s="139">
      <c r="A284" s="2" t="n"/>
      <c r="B284" s="2" t="n"/>
      <c r="C284" s="2" t="n"/>
      <c r="D284" s="2" t="n"/>
      <c r="E284" s="2" t="n"/>
      <c r="F284" s="2" t="n"/>
      <c r="G284" s="2" t="n"/>
      <c r="H284" s="2" t="n"/>
      <c r="I284" s="2" t="n"/>
    </row>
    <row r="285" ht="15.75" customHeight="1" s="139">
      <c r="A285" s="2" t="n"/>
      <c r="B285" s="2" t="n"/>
      <c r="C285" s="2" t="n"/>
      <c r="D285" s="2" t="n"/>
      <c r="E285" s="2" t="n"/>
      <c r="F285" s="2" t="n"/>
      <c r="G285" s="2" t="n"/>
      <c r="H285" s="2" t="n"/>
      <c r="I285" s="2" t="n"/>
    </row>
    <row r="286" ht="15.75" customHeight="1" s="139">
      <c r="A286" s="2" t="n"/>
      <c r="B286" s="2" t="n"/>
      <c r="C286" s="2" t="n"/>
      <c r="D286" s="2" t="n"/>
      <c r="E286" s="2" t="n"/>
      <c r="F286" s="2" t="n"/>
      <c r="G286" s="2" t="n"/>
      <c r="H286" s="2" t="n"/>
      <c r="I286" s="2" t="n"/>
    </row>
    <row r="287" ht="15.75" customHeight="1" s="139">
      <c r="A287" s="2" t="n"/>
      <c r="B287" s="2" t="n"/>
      <c r="C287" s="2" t="n"/>
      <c r="D287" s="2" t="n"/>
      <c r="E287" s="2" t="n"/>
      <c r="F287" s="2" t="n"/>
      <c r="G287" s="2" t="n"/>
      <c r="H287" s="2" t="n"/>
      <c r="I287" s="2" t="n"/>
    </row>
    <row r="288" ht="15.75" customHeight="1" s="139">
      <c r="A288" s="2" t="n"/>
      <c r="B288" s="2" t="n"/>
      <c r="C288" s="2" t="n"/>
      <c r="D288" s="2" t="n"/>
      <c r="E288" s="2" t="n"/>
      <c r="F288" s="2" t="n"/>
      <c r="G288" s="2" t="n"/>
      <c r="H288" s="2" t="n"/>
      <c r="I288" s="2" t="n"/>
    </row>
    <row r="289" ht="15.75" customHeight="1" s="139">
      <c r="A289" s="2" t="n"/>
      <c r="B289" s="2" t="n"/>
      <c r="C289" s="2" t="n"/>
      <c r="D289" s="2" t="n"/>
      <c r="E289" s="2" t="n"/>
      <c r="F289" s="2" t="n"/>
      <c r="G289" s="2" t="n"/>
      <c r="H289" s="2" t="n"/>
      <c r="I289" s="2" t="n"/>
    </row>
    <row r="290" ht="15.75" customHeight="1" s="139">
      <c r="A290" s="2" t="n"/>
      <c r="B290" s="2" t="n"/>
      <c r="C290" s="2" t="n"/>
      <c r="D290" s="2" t="n"/>
      <c r="E290" s="2" t="n"/>
      <c r="F290" s="2" t="n"/>
      <c r="G290" s="2" t="n"/>
      <c r="H290" s="2" t="n"/>
      <c r="I290" s="2" t="n"/>
    </row>
    <row r="291" ht="15.75" customHeight="1" s="139">
      <c r="A291" s="2" t="n"/>
      <c r="B291" s="2" t="n"/>
      <c r="C291" s="2" t="n"/>
      <c r="D291" s="2" t="n"/>
      <c r="E291" s="2" t="n"/>
      <c r="F291" s="2" t="n"/>
      <c r="G291" s="2" t="n"/>
      <c r="H291" s="2" t="n"/>
      <c r="I291" s="2" t="n"/>
    </row>
    <row r="292" ht="15.75" customHeight="1" s="139">
      <c r="A292" s="2" t="n"/>
      <c r="B292" s="2" t="n"/>
      <c r="C292" s="2" t="n"/>
      <c r="D292" s="2" t="n"/>
      <c r="E292" s="2" t="n"/>
      <c r="F292" s="2" t="n"/>
      <c r="G292" s="2" t="n"/>
      <c r="H292" s="2" t="n"/>
      <c r="I292" s="2" t="n"/>
    </row>
    <row r="293" ht="15.75" customHeight="1" s="139">
      <c r="A293" s="2" t="n"/>
      <c r="B293" s="2" t="n"/>
      <c r="C293" s="2" t="n"/>
      <c r="D293" s="2" t="n"/>
      <c r="E293" s="2" t="n"/>
      <c r="F293" s="2" t="n"/>
      <c r="G293" s="2" t="n"/>
      <c r="H293" s="2" t="n"/>
      <c r="I293" s="2" t="n"/>
    </row>
    <row r="294" ht="15.75" customHeight="1" s="139">
      <c r="A294" s="2" t="n"/>
      <c r="B294" s="2" t="n"/>
      <c r="C294" s="2" t="n"/>
      <c r="D294" s="2" t="n"/>
      <c r="E294" s="2" t="n"/>
      <c r="F294" s="2" t="n"/>
      <c r="G294" s="2" t="n"/>
      <c r="H294" s="2" t="n"/>
      <c r="I294" s="2" t="n"/>
    </row>
    <row r="295" ht="15.75" customHeight="1" s="139">
      <c r="A295" s="2" t="n"/>
      <c r="B295" s="2" t="n"/>
      <c r="C295" s="2" t="n"/>
      <c r="D295" s="2" t="n"/>
      <c r="E295" s="2" t="n"/>
      <c r="F295" s="2" t="n"/>
      <c r="G295" s="2" t="n"/>
      <c r="H295" s="2" t="n"/>
      <c r="I295" s="2" t="n"/>
    </row>
    <row r="296" ht="15.75" customHeight="1" s="139">
      <c r="A296" s="2" t="n"/>
      <c r="B296" s="2" t="n"/>
      <c r="C296" s="2" t="n"/>
      <c r="D296" s="2" t="n"/>
      <c r="E296" s="2" t="n"/>
      <c r="F296" s="2" t="n"/>
      <c r="G296" s="2" t="n"/>
      <c r="H296" s="2" t="n"/>
      <c r="I296" s="2" t="n"/>
    </row>
    <row r="297" ht="15.75" customHeight="1" s="139">
      <c r="A297" s="2" t="n"/>
      <c r="B297" s="2" t="n"/>
      <c r="C297" s="2" t="n"/>
      <c r="D297" s="2" t="n"/>
      <c r="E297" s="2" t="n"/>
      <c r="F297" s="2" t="n"/>
      <c r="G297" s="2" t="n"/>
      <c r="H297" s="2" t="n"/>
      <c r="I297" s="2" t="n"/>
    </row>
    <row r="298" ht="15.75" customHeight="1" s="139">
      <c r="A298" s="2" t="n"/>
      <c r="B298" s="2" t="n"/>
      <c r="C298" s="2" t="n"/>
      <c r="D298" s="2" t="n"/>
      <c r="E298" s="2" t="n"/>
      <c r="F298" s="2" t="n"/>
      <c r="G298" s="2" t="n"/>
      <c r="H298" s="2" t="n"/>
      <c r="I298" s="2" t="n"/>
    </row>
    <row r="299" ht="15.75" customHeight="1" s="139">
      <c r="A299" s="2" t="n"/>
      <c r="B299" s="2" t="n"/>
      <c r="C299" s="2" t="n"/>
      <c r="D299" s="2" t="n"/>
      <c r="E299" s="2" t="n"/>
      <c r="F299" s="2" t="n"/>
      <c r="G299" s="2" t="n"/>
      <c r="H299" s="2" t="n"/>
      <c r="I299" s="2" t="n"/>
    </row>
    <row r="300" ht="15.75" customHeight="1" s="139"/>
    <row r="301" ht="15.75" customHeight="1" s="139"/>
    <row r="302" ht="15.75" customHeight="1" s="139"/>
    <row r="303" ht="15.75" customHeight="1" s="139"/>
    <row r="304" ht="15.75" customHeight="1" s="139"/>
    <row r="305" ht="15.75" customHeight="1" s="139"/>
    <row r="306" ht="15.75" customHeight="1" s="139"/>
    <row r="307" ht="15.75" customHeight="1" s="139"/>
    <row r="308" ht="15.75" customHeight="1" s="139"/>
    <row r="309" ht="15.75" customHeight="1" s="139"/>
    <row r="310" ht="15.75" customHeight="1" s="139"/>
    <row r="311" ht="15.75" customHeight="1" s="139"/>
    <row r="312" ht="15.75" customHeight="1" s="139"/>
    <row r="313" ht="15.75" customHeight="1" s="139"/>
    <row r="314" ht="15.75" customHeight="1" s="139"/>
    <row r="315" ht="15.75" customHeight="1" s="139"/>
    <row r="316" ht="15.75" customHeight="1" s="139"/>
    <row r="317" ht="15.75" customHeight="1" s="139"/>
    <row r="318" ht="15.75" customHeight="1" s="139"/>
    <row r="319" ht="15.75" customHeight="1" s="139"/>
    <row r="320" ht="15.75" customHeight="1" s="139"/>
    <row r="321" ht="15.75" customHeight="1" s="139"/>
    <row r="322" ht="15.75" customHeight="1" s="139"/>
    <row r="323" ht="15.75" customHeight="1" s="139"/>
    <row r="324" ht="15.75" customHeight="1" s="139"/>
    <row r="325" ht="15.75" customHeight="1" s="139"/>
    <row r="326" ht="15.75" customHeight="1" s="139"/>
    <row r="327" ht="15.75" customHeight="1" s="139"/>
    <row r="328" ht="15.75" customHeight="1" s="139"/>
    <row r="329" ht="15.75" customHeight="1" s="139"/>
    <row r="330" ht="15.75" customHeight="1" s="139"/>
    <row r="331" ht="15.75" customHeight="1" s="139"/>
    <row r="332" ht="15.75" customHeight="1" s="139"/>
    <row r="333" ht="15.75" customHeight="1" s="139"/>
    <row r="334" ht="15.75" customHeight="1" s="139"/>
    <row r="335" ht="15.75" customHeight="1" s="139"/>
    <row r="336" ht="15.75" customHeight="1" s="139"/>
    <row r="337" ht="15.75" customHeight="1" s="139"/>
    <row r="338" ht="15.75" customHeight="1" s="139"/>
    <row r="339" ht="15.75" customHeight="1" s="139"/>
    <row r="340" ht="15.75" customHeight="1" s="139"/>
    <row r="341" ht="15.75" customHeight="1" s="139"/>
    <row r="342" ht="15.75" customHeight="1" s="139"/>
    <row r="343" ht="15.75" customHeight="1" s="139"/>
    <row r="344" ht="15.75" customHeight="1" s="139"/>
    <row r="345" ht="15.75" customHeight="1" s="139"/>
    <row r="346" ht="15.75" customHeight="1" s="139"/>
    <row r="347" ht="15.75" customHeight="1" s="139"/>
    <row r="348" ht="15.75" customHeight="1" s="139"/>
    <row r="349" ht="15.75" customHeight="1" s="139"/>
    <row r="350" ht="15.75" customHeight="1" s="139"/>
    <row r="351" ht="15.75" customHeight="1" s="139"/>
    <row r="352" ht="15.75" customHeight="1" s="139"/>
    <row r="353" ht="15.75" customHeight="1" s="139"/>
    <row r="354" ht="15.75" customHeight="1" s="139"/>
    <row r="355" ht="15.75" customHeight="1" s="139"/>
    <row r="356" ht="15.75" customHeight="1" s="139"/>
    <row r="357" ht="15.75" customHeight="1" s="139"/>
    <row r="358" ht="15.75" customHeight="1" s="139"/>
    <row r="359" ht="15.75" customHeight="1" s="139"/>
    <row r="360" ht="15.75" customHeight="1" s="139"/>
    <row r="361" ht="15.75" customHeight="1" s="139"/>
    <row r="362" ht="15.75" customHeight="1" s="139"/>
    <row r="363" ht="15.75" customHeight="1" s="139"/>
    <row r="364" ht="15.75" customHeight="1" s="139"/>
    <row r="365" ht="15.75" customHeight="1" s="139"/>
    <row r="366" ht="15.75" customHeight="1" s="139"/>
    <row r="367" ht="15.75" customHeight="1" s="139"/>
    <row r="368" ht="15.75" customHeight="1" s="139"/>
    <row r="369" ht="15.75" customHeight="1" s="139"/>
    <row r="370" ht="15.75" customHeight="1" s="139"/>
    <row r="371" ht="15.75" customHeight="1" s="139"/>
    <row r="372" ht="15.75" customHeight="1" s="139"/>
    <row r="373" ht="15.75" customHeight="1" s="139"/>
    <row r="374" ht="15.75" customHeight="1" s="139"/>
    <row r="375" ht="15.75" customHeight="1" s="139"/>
    <row r="376" ht="15.75" customHeight="1" s="139"/>
    <row r="377" ht="15.75" customHeight="1" s="139"/>
    <row r="378" ht="15.75" customHeight="1" s="139"/>
    <row r="379" ht="15.75" customHeight="1" s="139"/>
    <row r="380" ht="15.75" customHeight="1" s="139"/>
    <row r="381" ht="15.75" customHeight="1" s="139"/>
    <row r="382" ht="15.75" customHeight="1" s="139"/>
    <row r="383" ht="15.75" customHeight="1" s="139"/>
    <row r="384" ht="15.75" customHeight="1" s="139"/>
    <row r="385" ht="15.75" customHeight="1" s="139"/>
    <row r="386" ht="15.75" customHeight="1" s="139"/>
    <row r="387" ht="15.75" customHeight="1" s="139"/>
    <row r="388" ht="15.75" customHeight="1" s="139"/>
    <row r="389" ht="15.75" customHeight="1" s="139"/>
    <row r="390" ht="15.75" customHeight="1" s="139"/>
    <row r="391" ht="15.75" customHeight="1" s="139"/>
    <row r="392" ht="15.75" customHeight="1" s="139"/>
    <row r="393" ht="15.75" customHeight="1" s="139"/>
    <row r="394" ht="15.75" customHeight="1" s="139"/>
    <row r="395" ht="15.75" customHeight="1" s="139"/>
    <row r="396" ht="15.75" customHeight="1" s="139"/>
    <row r="397" ht="15.75" customHeight="1" s="139"/>
    <row r="398" ht="15.75" customHeight="1" s="139"/>
    <row r="399" ht="15.75" customHeight="1" s="139"/>
    <row r="400" ht="15.75" customHeight="1" s="139"/>
    <row r="401" ht="15.75" customHeight="1" s="139"/>
    <row r="402" ht="15.75" customHeight="1" s="139"/>
    <row r="403" ht="15.75" customHeight="1" s="139"/>
    <row r="404" ht="15.75" customHeight="1" s="139"/>
    <row r="405" ht="15.75" customHeight="1" s="139"/>
    <row r="406" ht="15.75" customHeight="1" s="139"/>
    <row r="407" ht="15.75" customHeight="1" s="139"/>
    <row r="408" ht="15.75" customHeight="1" s="139"/>
    <row r="409" ht="15.75" customHeight="1" s="139"/>
    <row r="410" ht="15.75" customHeight="1" s="139"/>
    <row r="411" ht="15.75" customHeight="1" s="139"/>
    <row r="412" ht="15.75" customHeight="1" s="139"/>
    <row r="413" ht="15.75" customHeight="1" s="139"/>
    <row r="414" ht="15.75" customHeight="1" s="139"/>
    <row r="415" ht="15.75" customHeight="1" s="139"/>
    <row r="416" ht="15.75" customHeight="1" s="139"/>
    <row r="417" ht="15.75" customHeight="1" s="139"/>
    <row r="418" ht="15.75" customHeight="1" s="139"/>
    <row r="419" ht="15.75" customHeight="1" s="139"/>
    <row r="420" ht="15.75" customHeight="1" s="139"/>
    <row r="421" ht="15.75" customHeight="1" s="139"/>
    <row r="422" ht="15.75" customHeight="1" s="139"/>
    <row r="423" ht="15.75" customHeight="1" s="139"/>
    <row r="424" ht="15.75" customHeight="1" s="139"/>
    <row r="425" ht="15.75" customHeight="1" s="139"/>
    <row r="426" ht="15.75" customHeight="1" s="139"/>
    <row r="427" ht="15.75" customHeight="1" s="139"/>
    <row r="428" ht="15.75" customHeight="1" s="139"/>
    <row r="429" ht="15.75" customHeight="1" s="139"/>
    <row r="430" ht="15.75" customHeight="1" s="139"/>
    <row r="431" ht="15.75" customHeight="1" s="139"/>
    <row r="432" ht="15.75" customHeight="1" s="139"/>
    <row r="433" ht="15.75" customHeight="1" s="139"/>
    <row r="434" ht="15.75" customHeight="1" s="139"/>
    <row r="435" ht="15.75" customHeight="1" s="139"/>
    <row r="436" ht="15.75" customHeight="1" s="139"/>
    <row r="437" ht="15.75" customHeight="1" s="139"/>
    <row r="438" ht="15.75" customHeight="1" s="139"/>
    <row r="439" ht="15.75" customHeight="1" s="139"/>
    <row r="440" ht="15.75" customHeight="1" s="139"/>
    <row r="441" ht="15.75" customHeight="1" s="139"/>
    <row r="442" ht="15.75" customHeight="1" s="139"/>
    <row r="443" ht="15.75" customHeight="1" s="139"/>
    <row r="444" ht="15.75" customHeight="1" s="139"/>
    <row r="445" ht="15.75" customHeight="1" s="139"/>
    <row r="446" ht="15.75" customHeight="1" s="139"/>
    <row r="447" ht="15.75" customHeight="1" s="139"/>
    <row r="448" ht="15.75" customHeight="1" s="139"/>
    <row r="449" ht="15.75" customHeight="1" s="139"/>
    <row r="450" ht="15.75" customHeight="1" s="139"/>
    <row r="451" ht="15.75" customHeight="1" s="139"/>
    <row r="452" ht="15.75" customHeight="1" s="139"/>
    <row r="453" ht="15.75" customHeight="1" s="139"/>
    <row r="454" ht="15.75" customHeight="1" s="139"/>
    <row r="455" ht="15.75" customHeight="1" s="139"/>
    <row r="456" ht="15.75" customHeight="1" s="139"/>
    <row r="457" ht="15.75" customHeight="1" s="139"/>
    <row r="458" ht="15.75" customHeight="1" s="139"/>
    <row r="459" ht="15.75" customHeight="1" s="139"/>
    <row r="460" ht="15.75" customHeight="1" s="139"/>
    <row r="461" ht="15.75" customHeight="1" s="139"/>
    <row r="462" ht="15.75" customHeight="1" s="139"/>
    <row r="463" ht="15.75" customHeight="1" s="139"/>
    <row r="464" ht="15.75" customHeight="1" s="139"/>
    <row r="465" ht="15.75" customHeight="1" s="139"/>
    <row r="466" ht="15.75" customHeight="1" s="139"/>
    <row r="467" ht="15.75" customHeight="1" s="139"/>
    <row r="468" ht="15.75" customHeight="1" s="139"/>
    <row r="469" ht="15.75" customHeight="1" s="139"/>
    <row r="470" ht="15.75" customHeight="1" s="139"/>
    <row r="471" ht="15.75" customHeight="1" s="139"/>
    <row r="472" ht="15.75" customHeight="1" s="139"/>
    <row r="473" ht="15.75" customHeight="1" s="139"/>
    <row r="474" ht="15.75" customHeight="1" s="139"/>
    <row r="475" ht="15.75" customHeight="1" s="139"/>
    <row r="476" ht="15.75" customHeight="1" s="139"/>
    <row r="477" ht="15.75" customHeight="1" s="139"/>
    <row r="478" ht="15.75" customHeight="1" s="139"/>
    <row r="479" ht="15.75" customHeight="1" s="139"/>
    <row r="480" ht="15.75" customHeight="1" s="139"/>
    <row r="481" ht="15.75" customHeight="1" s="139"/>
    <row r="482" ht="15.75" customHeight="1" s="139"/>
    <row r="483" ht="15.75" customHeight="1" s="139"/>
    <row r="484" ht="15.75" customHeight="1" s="139"/>
    <row r="485" ht="15.75" customHeight="1" s="139"/>
    <row r="486" ht="15.75" customHeight="1" s="139"/>
    <row r="487" ht="15.75" customHeight="1" s="139"/>
    <row r="488" ht="15.75" customHeight="1" s="139"/>
    <row r="489" ht="15.75" customHeight="1" s="139"/>
    <row r="490" ht="15.75" customHeight="1" s="139"/>
    <row r="491" ht="15.75" customHeight="1" s="139"/>
    <row r="492" ht="15.75" customHeight="1" s="139"/>
    <row r="493" ht="15.75" customHeight="1" s="139"/>
    <row r="494" ht="15.75" customHeight="1" s="139"/>
    <row r="495" ht="15.75" customHeight="1" s="139"/>
    <row r="496" ht="15.75" customHeight="1" s="139"/>
    <row r="497" ht="15.75" customHeight="1" s="139"/>
    <row r="498" ht="15.75" customHeight="1" s="139"/>
    <row r="499" ht="15.75" customHeight="1" s="139"/>
    <row r="500" ht="15.75" customHeight="1" s="139"/>
    <row r="501" ht="15.75" customHeight="1" s="139"/>
    <row r="502" ht="15.75" customHeight="1" s="139"/>
    <row r="503" ht="15.75" customHeight="1" s="139"/>
    <row r="504" ht="15.75" customHeight="1" s="139"/>
    <row r="505" ht="15.75" customHeight="1" s="139"/>
    <row r="506" ht="15.75" customHeight="1" s="139"/>
    <row r="507" ht="15.75" customHeight="1" s="139"/>
    <row r="508" ht="15.75" customHeight="1" s="139"/>
    <row r="509" ht="15.75" customHeight="1" s="139"/>
    <row r="510" ht="15.75" customHeight="1" s="139"/>
    <row r="511" ht="15.75" customHeight="1" s="139"/>
    <row r="512" ht="15.75" customHeight="1" s="139"/>
    <row r="513" ht="15.75" customHeight="1" s="139"/>
    <row r="514" ht="15.75" customHeight="1" s="139"/>
    <row r="515" ht="15.75" customHeight="1" s="139"/>
    <row r="516" ht="15.75" customHeight="1" s="139"/>
    <row r="517" ht="15.75" customHeight="1" s="139"/>
    <row r="518" ht="15.75" customHeight="1" s="139"/>
    <row r="519" ht="15.75" customHeight="1" s="139"/>
    <row r="520" ht="15.75" customHeight="1" s="139"/>
    <row r="521" ht="15.75" customHeight="1" s="139"/>
    <row r="522" ht="15.75" customHeight="1" s="139"/>
    <row r="523" ht="15.75" customHeight="1" s="139"/>
    <row r="524" ht="15.75" customHeight="1" s="139"/>
    <row r="525" ht="15.75" customHeight="1" s="139"/>
    <row r="526" ht="15.75" customHeight="1" s="139"/>
    <row r="527" ht="15.75" customHeight="1" s="139"/>
    <row r="528" ht="15.75" customHeight="1" s="139"/>
    <row r="529" ht="15.75" customHeight="1" s="139"/>
    <row r="530" ht="15.75" customHeight="1" s="139"/>
    <row r="531" ht="15.75" customHeight="1" s="139"/>
    <row r="532" ht="15.75" customHeight="1" s="139"/>
    <row r="533" ht="15.75" customHeight="1" s="139"/>
    <row r="534" ht="15.75" customHeight="1" s="139"/>
    <row r="535" ht="15.75" customHeight="1" s="139"/>
    <row r="536" ht="15.75" customHeight="1" s="139"/>
    <row r="537" ht="15.75" customHeight="1" s="139"/>
    <row r="538" ht="15.75" customHeight="1" s="139"/>
    <row r="539" ht="15.75" customHeight="1" s="139"/>
    <row r="540" ht="15.75" customHeight="1" s="139"/>
    <row r="541" ht="15.75" customHeight="1" s="139"/>
    <row r="542" ht="15.75" customHeight="1" s="139"/>
    <row r="543" ht="15.75" customHeight="1" s="139"/>
    <row r="544" ht="15.75" customHeight="1" s="139"/>
    <row r="545" ht="15.75" customHeight="1" s="139"/>
    <row r="546" ht="15.75" customHeight="1" s="139"/>
    <row r="547" ht="15.75" customHeight="1" s="139"/>
    <row r="548" ht="15.75" customHeight="1" s="139"/>
    <row r="549" ht="15.75" customHeight="1" s="139"/>
    <row r="550" ht="15.75" customHeight="1" s="139"/>
    <row r="551" ht="15.75" customHeight="1" s="139"/>
    <row r="552" ht="15.75" customHeight="1" s="139"/>
    <row r="553" ht="15.75" customHeight="1" s="139"/>
    <row r="554" ht="15.75" customHeight="1" s="139"/>
    <row r="555" ht="15.75" customHeight="1" s="139"/>
    <row r="556" ht="15.75" customHeight="1" s="139"/>
    <row r="557" ht="15.75" customHeight="1" s="139"/>
    <row r="558" ht="15.75" customHeight="1" s="139"/>
    <row r="559" ht="15.75" customHeight="1" s="139"/>
    <row r="560" ht="15.75" customHeight="1" s="139"/>
    <row r="561" ht="15.75" customHeight="1" s="139"/>
    <row r="562" ht="15.75" customHeight="1" s="139"/>
    <row r="563" ht="15.75" customHeight="1" s="139"/>
    <row r="564" ht="15.75" customHeight="1" s="139"/>
    <row r="565" ht="15.75" customHeight="1" s="139"/>
    <row r="566" ht="15.75" customHeight="1" s="139"/>
    <row r="567" ht="15.75" customHeight="1" s="139"/>
    <row r="568" ht="15.75" customHeight="1" s="139"/>
    <row r="569" ht="15.75" customHeight="1" s="139"/>
    <row r="570" ht="15.75" customHeight="1" s="139"/>
    <row r="571" ht="15.75" customHeight="1" s="139"/>
    <row r="572" ht="15.75" customHeight="1" s="139"/>
    <row r="573" ht="15.75" customHeight="1" s="139"/>
    <row r="574" ht="15.75" customHeight="1" s="139"/>
    <row r="575" ht="15.75" customHeight="1" s="139"/>
    <row r="576" ht="15.75" customHeight="1" s="139"/>
    <row r="577" ht="15.75" customHeight="1" s="139"/>
    <row r="578" ht="15.75" customHeight="1" s="139"/>
    <row r="579" ht="15.75" customHeight="1" s="139"/>
    <row r="580" ht="15.75" customHeight="1" s="139"/>
    <row r="581" ht="15.75" customHeight="1" s="139"/>
    <row r="582" ht="15.75" customHeight="1" s="139"/>
    <row r="583" ht="15.75" customHeight="1" s="139"/>
    <row r="584" ht="15.75" customHeight="1" s="139"/>
    <row r="585" ht="15.75" customHeight="1" s="139"/>
    <row r="586" ht="15.75" customHeight="1" s="139"/>
    <row r="587" ht="15.75" customHeight="1" s="139"/>
    <row r="588" ht="15.75" customHeight="1" s="139"/>
    <row r="589" ht="15.75" customHeight="1" s="139"/>
    <row r="590" ht="15.75" customHeight="1" s="139"/>
    <row r="591" ht="15.75" customHeight="1" s="139"/>
    <row r="592" ht="15.75" customHeight="1" s="139"/>
    <row r="593" ht="15.75" customHeight="1" s="139"/>
    <row r="594" ht="15.75" customHeight="1" s="139"/>
    <row r="595" ht="15.75" customHeight="1" s="139"/>
    <row r="596" ht="15.75" customHeight="1" s="139"/>
    <row r="597" ht="15.75" customHeight="1" s="139"/>
    <row r="598" ht="15.75" customHeight="1" s="139"/>
    <row r="599" ht="15.75" customHeight="1" s="139"/>
    <row r="600" ht="15.75" customHeight="1" s="139"/>
    <row r="601" ht="15.75" customHeight="1" s="139"/>
    <row r="602" ht="15.75" customHeight="1" s="139"/>
    <row r="603" ht="15.75" customHeight="1" s="139"/>
    <row r="604" ht="15.75" customHeight="1" s="139"/>
    <row r="605" ht="15.75" customHeight="1" s="139"/>
    <row r="606" ht="15.75" customHeight="1" s="139"/>
    <row r="607" ht="15.75" customHeight="1" s="139"/>
    <row r="608" ht="15.75" customHeight="1" s="139"/>
    <row r="609" ht="15.75" customHeight="1" s="139"/>
    <row r="610" ht="15.75" customHeight="1" s="139"/>
    <row r="611" ht="15.75" customHeight="1" s="139"/>
    <row r="612" ht="15.75" customHeight="1" s="139"/>
    <row r="613" ht="15.75" customHeight="1" s="139"/>
    <row r="614" ht="15.75" customHeight="1" s="139"/>
    <row r="615" ht="15.75" customHeight="1" s="139"/>
    <row r="616" ht="15.75" customHeight="1" s="139"/>
    <row r="617" ht="15.75" customHeight="1" s="139"/>
    <row r="618" ht="15.75" customHeight="1" s="139"/>
    <row r="619" ht="15.75" customHeight="1" s="139"/>
    <row r="620" ht="15.75" customHeight="1" s="139"/>
    <row r="621" ht="15.75" customHeight="1" s="139"/>
    <row r="622" ht="15.75" customHeight="1" s="139"/>
    <row r="623" ht="15.75" customHeight="1" s="139"/>
    <row r="624" ht="15.75" customHeight="1" s="139"/>
    <row r="625" ht="15.75" customHeight="1" s="139"/>
    <row r="626" ht="15.75" customHeight="1" s="139"/>
    <row r="627" ht="15.75" customHeight="1" s="139"/>
    <row r="628" ht="15.75" customHeight="1" s="139"/>
    <row r="629" ht="15.75" customHeight="1" s="139"/>
    <row r="630" ht="15.75" customHeight="1" s="139"/>
    <row r="631" ht="15.75" customHeight="1" s="139"/>
    <row r="632" ht="15.75" customHeight="1" s="139"/>
    <row r="633" ht="15.75" customHeight="1" s="139"/>
    <row r="634" ht="15.75" customHeight="1" s="139"/>
    <row r="635" ht="15.75" customHeight="1" s="139"/>
    <row r="636" ht="15.75" customHeight="1" s="139"/>
    <row r="637" ht="15.75" customHeight="1" s="139"/>
    <row r="638" ht="15.75" customHeight="1" s="139"/>
    <row r="639" ht="15.75" customHeight="1" s="139"/>
    <row r="640" ht="15.75" customHeight="1" s="139"/>
    <row r="641" ht="15.75" customHeight="1" s="139"/>
    <row r="642" ht="15.75" customHeight="1" s="139"/>
    <row r="643" ht="15.75" customHeight="1" s="139"/>
    <row r="644" ht="15.75" customHeight="1" s="139"/>
    <row r="645" ht="15.75" customHeight="1" s="139"/>
    <row r="646" ht="15.75" customHeight="1" s="139"/>
    <row r="647" ht="15.75" customHeight="1" s="139"/>
    <row r="648" ht="15.75" customHeight="1" s="139"/>
    <row r="649" ht="15.75" customHeight="1" s="139"/>
    <row r="650" ht="15.75" customHeight="1" s="139"/>
    <row r="651" ht="15.75" customHeight="1" s="139"/>
    <row r="652" ht="15.75" customHeight="1" s="139"/>
    <row r="653" ht="15.75" customHeight="1" s="139"/>
    <row r="654" ht="15.75" customHeight="1" s="139"/>
    <row r="655" ht="15.75" customHeight="1" s="139"/>
    <row r="656" ht="15.75" customHeight="1" s="139"/>
    <row r="657" ht="15.75" customHeight="1" s="139"/>
    <row r="658" ht="15.75" customHeight="1" s="139"/>
    <row r="659" ht="15.75" customHeight="1" s="139"/>
    <row r="660" ht="15.75" customHeight="1" s="139"/>
    <row r="661" ht="15.75" customHeight="1" s="139"/>
    <row r="662" ht="15.75" customHeight="1" s="139"/>
    <row r="663" ht="15.75" customHeight="1" s="139"/>
    <row r="664" ht="15.75" customHeight="1" s="139"/>
    <row r="665" ht="15.75" customHeight="1" s="139"/>
    <row r="666" ht="15.75" customHeight="1" s="139"/>
    <row r="667" ht="15.75" customHeight="1" s="139"/>
    <row r="668" ht="15.75" customHeight="1" s="139"/>
    <row r="669" ht="15.75" customHeight="1" s="139"/>
    <row r="670" ht="15.75" customHeight="1" s="139"/>
    <row r="671" ht="15.75" customHeight="1" s="139"/>
    <row r="672" ht="15.75" customHeight="1" s="139"/>
    <row r="673" ht="15.75" customHeight="1" s="139"/>
    <row r="674" ht="15.75" customHeight="1" s="139"/>
    <row r="675" ht="15.75" customHeight="1" s="139"/>
    <row r="676" ht="15.75" customHeight="1" s="139"/>
    <row r="677" ht="15.75" customHeight="1" s="139"/>
    <row r="678" ht="15.75" customHeight="1" s="139"/>
    <row r="679" ht="15.75" customHeight="1" s="139"/>
    <row r="680" ht="15.75" customHeight="1" s="139"/>
    <row r="681" ht="15.75" customHeight="1" s="139"/>
    <row r="682" ht="15.75" customHeight="1" s="139"/>
    <row r="683" ht="15.75" customHeight="1" s="139"/>
    <row r="684" ht="15.75" customHeight="1" s="139"/>
    <row r="685" ht="15.75" customHeight="1" s="139"/>
    <row r="686" ht="15.75" customHeight="1" s="139"/>
    <row r="687" ht="15.75" customHeight="1" s="139"/>
    <row r="688" ht="15.75" customHeight="1" s="139"/>
    <row r="689" ht="15.75" customHeight="1" s="139"/>
    <row r="690" ht="15.75" customHeight="1" s="139"/>
    <row r="691" ht="15.75" customHeight="1" s="139"/>
    <row r="692" ht="15.75" customHeight="1" s="139"/>
    <row r="693" ht="15.75" customHeight="1" s="139"/>
    <row r="694" ht="15.75" customHeight="1" s="139"/>
    <row r="695" ht="15.75" customHeight="1" s="139"/>
    <row r="696" ht="15.75" customHeight="1" s="139"/>
    <row r="697" ht="15.75" customHeight="1" s="139"/>
    <row r="698" ht="15.75" customHeight="1" s="139"/>
    <row r="699" ht="15.75" customHeight="1" s="139"/>
    <row r="700" ht="15.75" customHeight="1" s="139"/>
    <row r="701" ht="15.75" customHeight="1" s="139"/>
    <row r="702" ht="15.75" customHeight="1" s="139"/>
    <row r="703" ht="15.75" customHeight="1" s="139"/>
    <row r="704" ht="15.75" customHeight="1" s="139"/>
    <row r="705" ht="15.75" customHeight="1" s="139"/>
    <row r="706" ht="15.75" customHeight="1" s="139"/>
    <row r="707" ht="15.75" customHeight="1" s="139"/>
    <row r="708" ht="15.75" customHeight="1" s="139"/>
    <row r="709" ht="15.75" customHeight="1" s="139"/>
    <row r="710" ht="15.75" customHeight="1" s="139"/>
    <row r="711" ht="15.75" customHeight="1" s="139"/>
    <row r="712" ht="15.75" customHeight="1" s="139"/>
    <row r="713" ht="15.75" customHeight="1" s="139"/>
    <row r="714" ht="15.75" customHeight="1" s="139"/>
    <row r="715" ht="15.75" customHeight="1" s="139"/>
    <row r="716" ht="15.75" customHeight="1" s="139"/>
    <row r="717" ht="15.75" customHeight="1" s="139"/>
    <row r="718" ht="15.75" customHeight="1" s="139"/>
    <row r="719" ht="15.75" customHeight="1" s="139"/>
    <row r="720" ht="15.75" customHeight="1" s="139"/>
    <row r="721" ht="15.75" customHeight="1" s="139"/>
    <row r="722" ht="15.75" customHeight="1" s="139"/>
    <row r="723" ht="15.75" customHeight="1" s="139"/>
    <row r="724" ht="15.75" customHeight="1" s="139"/>
    <row r="725" ht="15.75" customHeight="1" s="139"/>
    <row r="726" ht="15.75" customHeight="1" s="139"/>
    <row r="727" ht="15.75" customHeight="1" s="139"/>
    <row r="728" ht="15.75" customHeight="1" s="139"/>
    <row r="729" ht="15.75" customHeight="1" s="139"/>
    <row r="730" ht="15.75" customHeight="1" s="139"/>
    <row r="731" ht="15.75" customHeight="1" s="139"/>
    <row r="732" ht="15.75" customHeight="1" s="139"/>
    <row r="733" ht="15.75" customHeight="1" s="139"/>
    <row r="734" ht="15.75" customHeight="1" s="139"/>
    <row r="735" ht="15.75" customHeight="1" s="139"/>
    <row r="736" ht="15.75" customHeight="1" s="139"/>
    <row r="737" ht="15.75" customHeight="1" s="139"/>
    <row r="738" ht="15.75" customHeight="1" s="139"/>
    <row r="739" ht="15.75" customHeight="1" s="139"/>
    <row r="740" ht="15.75" customHeight="1" s="139"/>
    <row r="741" ht="15.75" customHeight="1" s="139"/>
    <row r="742" ht="15.75" customHeight="1" s="139"/>
    <row r="743" ht="15.75" customHeight="1" s="139"/>
    <row r="744" ht="15.75" customHeight="1" s="139"/>
    <row r="745" ht="15.75" customHeight="1" s="139"/>
    <row r="746" ht="15.75" customHeight="1" s="139"/>
    <row r="747" ht="15.75" customHeight="1" s="139"/>
    <row r="748" ht="15.75" customHeight="1" s="139"/>
    <row r="749" ht="15.75" customHeight="1" s="139"/>
    <row r="750" ht="15.75" customHeight="1" s="139"/>
    <row r="751" ht="15.75" customHeight="1" s="139"/>
    <row r="752" ht="15.75" customHeight="1" s="139"/>
    <row r="753" ht="15.75" customHeight="1" s="139"/>
    <row r="754" ht="15.75" customHeight="1" s="139"/>
    <row r="755" ht="15.75" customHeight="1" s="139"/>
    <row r="756" ht="15.75" customHeight="1" s="139"/>
    <row r="757" ht="15.75" customHeight="1" s="139"/>
    <row r="758" ht="15.75" customHeight="1" s="139"/>
    <row r="759" ht="15.75" customHeight="1" s="139"/>
    <row r="760" ht="15.75" customHeight="1" s="139"/>
    <row r="761" ht="15.75" customHeight="1" s="139"/>
    <row r="762" ht="15.75" customHeight="1" s="139"/>
    <row r="763" ht="15.75" customHeight="1" s="139"/>
    <row r="764" ht="15.75" customHeight="1" s="139"/>
    <row r="765" ht="15.75" customHeight="1" s="139"/>
    <row r="766" ht="15.75" customHeight="1" s="139"/>
    <row r="767" ht="15.75" customHeight="1" s="139"/>
    <row r="768" ht="15.75" customHeight="1" s="139"/>
    <row r="769" ht="15.75" customHeight="1" s="139"/>
    <row r="770" ht="15.75" customHeight="1" s="139"/>
    <row r="771" ht="15.75" customHeight="1" s="139"/>
    <row r="772" ht="15.75" customHeight="1" s="139"/>
    <row r="773" ht="15.75" customHeight="1" s="139"/>
    <row r="774" ht="15.75" customHeight="1" s="139"/>
    <row r="775" ht="15.75" customHeight="1" s="139"/>
    <row r="776" ht="15.75" customHeight="1" s="139"/>
    <row r="777" ht="15.75" customHeight="1" s="139"/>
    <row r="778" ht="15.75" customHeight="1" s="139"/>
    <row r="779" ht="15.75" customHeight="1" s="139"/>
    <row r="780" ht="15.75" customHeight="1" s="139"/>
    <row r="781" ht="15.75" customHeight="1" s="139"/>
    <row r="782" ht="15.75" customHeight="1" s="139"/>
    <row r="783" ht="15.75" customHeight="1" s="139"/>
    <row r="784" ht="15.75" customHeight="1" s="139"/>
    <row r="785" ht="15.75" customHeight="1" s="139"/>
    <row r="786" ht="15.75" customHeight="1" s="139"/>
    <row r="787" ht="15.75" customHeight="1" s="139"/>
    <row r="788" ht="15.75" customHeight="1" s="139"/>
    <row r="789" ht="15.75" customHeight="1" s="139"/>
    <row r="790" ht="15.75" customHeight="1" s="139"/>
    <row r="791" ht="15.75" customHeight="1" s="139"/>
    <row r="792" ht="15.75" customHeight="1" s="139"/>
    <row r="793" ht="15.75" customHeight="1" s="139"/>
    <row r="794" ht="15.75" customHeight="1" s="139"/>
    <row r="795" ht="15.75" customHeight="1" s="139"/>
    <row r="796" ht="15.75" customHeight="1" s="139"/>
    <row r="797" ht="15.75" customHeight="1" s="139"/>
    <row r="798" ht="15.75" customHeight="1" s="139"/>
    <row r="799" ht="15.75" customHeight="1" s="139"/>
    <row r="800" ht="15.75" customHeight="1" s="139"/>
    <row r="801" ht="15.75" customHeight="1" s="139"/>
    <row r="802" ht="15.75" customHeight="1" s="139"/>
    <row r="803" ht="15.75" customHeight="1" s="139"/>
    <row r="804" ht="15.75" customHeight="1" s="139"/>
    <row r="805" ht="15.75" customHeight="1" s="139"/>
    <row r="806" ht="15.75" customHeight="1" s="139"/>
    <row r="807" ht="15.75" customHeight="1" s="139"/>
    <row r="808" ht="15.75" customHeight="1" s="139"/>
    <row r="809" ht="15.75" customHeight="1" s="139"/>
    <row r="810" ht="15.75" customHeight="1" s="139"/>
    <row r="811" ht="15.75" customHeight="1" s="139"/>
    <row r="812" ht="15.75" customHeight="1" s="139"/>
    <row r="813" ht="15.75" customHeight="1" s="139"/>
    <row r="814" ht="15.75" customHeight="1" s="139"/>
    <row r="815" ht="15.75" customHeight="1" s="139"/>
    <row r="816" ht="15.75" customHeight="1" s="139"/>
    <row r="817" ht="15.75" customHeight="1" s="139"/>
    <row r="818" ht="15.75" customHeight="1" s="139"/>
    <row r="819" ht="15.75" customHeight="1" s="139"/>
    <row r="820" ht="15.75" customHeight="1" s="139"/>
    <row r="821" ht="15.75" customHeight="1" s="139"/>
    <row r="822" ht="15.75" customHeight="1" s="139"/>
    <row r="823" ht="15.75" customHeight="1" s="139"/>
    <row r="824" ht="15.75" customHeight="1" s="139"/>
    <row r="825" ht="15.75" customHeight="1" s="139"/>
    <row r="826" ht="15.75" customHeight="1" s="139"/>
    <row r="827" ht="15.75" customHeight="1" s="139"/>
    <row r="828" ht="15.75" customHeight="1" s="139"/>
    <row r="829" ht="15.75" customHeight="1" s="139"/>
    <row r="830" ht="15.75" customHeight="1" s="139"/>
    <row r="831" ht="15.75" customHeight="1" s="139"/>
    <row r="832" ht="15.75" customHeight="1" s="139"/>
    <row r="833" ht="15.75" customHeight="1" s="139"/>
    <row r="834" ht="15.75" customHeight="1" s="139"/>
    <row r="835" ht="15.75" customHeight="1" s="139"/>
    <row r="836" ht="15.75" customHeight="1" s="139"/>
    <row r="837" ht="15.75" customHeight="1" s="139"/>
    <row r="838" ht="15.75" customHeight="1" s="139"/>
    <row r="839" ht="15.75" customHeight="1" s="139"/>
    <row r="840" ht="15.75" customHeight="1" s="139"/>
    <row r="841" ht="15.75" customHeight="1" s="139"/>
    <row r="842" ht="15.75" customHeight="1" s="139"/>
    <row r="843" ht="15.75" customHeight="1" s="139"/>
    <row r="844" ht="15.75" customHeight="1" s="139"/>
    <row r="845" ht="15.75" customHeight="1" s="139"/>
    <row r="846" ht="15.75" customHeight="1" s="139"/>
    <row r="847" ht="15.75" customHeight="1" s="139"/>
    <row r="848" ht="15.75" customHeight="1" s="139"/>
    <row r="849" ht="15.75" customHeight="1" s="139"/>
    <row r="850" ht="15.75" customHeight="1" s="139"/>
    <row r="851" ht="15.75" customHeight="1" s="139"/>
    <row r="852" ht="15.75" customHeight="1" s="139"/>
    <row r="853" ht="15.75" customHeight="1" s="139"/>
    <row r="854" ht="15.75" customHeight="1" s="139"/>
    <row r="855" ht="15.75" customHeight="1" s="139"/>
    <row r="856" ht="15.75" customHeight="1" s="139"/>
    <row r="857" ht="15.75" customHeight="1" s="139"/>
    <row r="858" ht="15.75" customHeight="1" s="139"/>
    <row r="859" ht="15.75" customHeight="1" s="139"/>
    <row r="860" ht="15.75" customHeight="1" s="139"/>
    <row r="861" ht="15.75" customHeight="1" s="139"/>
    <row r="862" ht="15.75" customHeight="1" s="139"/>
    <row r="863" ht="15.75" customHeight="1" s="139"/>
    <row r="864" ht="15.75" customHeight="1" s="139"/>
    <row r="865" ht="15.75" customHeight="1" s="139"/>
    <row r="866" ht="15.75" customHeight="1" s="139"/>
    <row r="867" ht="15.75" customHeight="1" s="139"/>
    <row r="868" ht="15.75" customHeight="1" s="139"/>
    <row r="869" ht="15.75" customHeight="1" s="139"/>
    <row r="870" ht="15.75" customHeight="1" s="139"/>
    <row r="871" ht="15.75" customHeight="1" s="139"/>
    <row r="872" ht="15.75" customHeight="1" s="139"/>
    <row r="873" ht="15.75" customHeight="1" s="139"/>
    <row r="874" ht="15.75" customHeight="1" s="139"/>
    <row r="875" ht="15.75" customHeight="1" s="139"/>
    <row r="876" ht="15.75" customHeight="1" s="139"/>
    <row r="877" ht="15.75" customHeight="1" s="139"/>
    <row r="878" ht="15.75" customHeight="1" s="139"/>
    <row r="879" ht="15.75" customHeight="1" s="139"/>
    <row r="880" ht="15.75" customHeight="1" s="139"/>
    <row r="881" ht="15.75" customHeight="1" s="139"/>
    <row r="882" ht="15.75" customHeight="1" s="139"/>
    <row r="883" ht="15.75" customHeight="1" s="139"/>
    <row r="884" ht="15.75" customHeight="1" s="139"/>
    <row r="885" ht="15.75" customHeight="1" s="139"/>
    <row r="886" ht="15.75" customHeight="1" s="139"/>
    <row r="887" ht="15.75" customHeight="1" s="139"/>
    <row r="888" ht="15.75" customHeight="1" s="139"/>
    <row r="889" ht="15.75" customHeight="1" s="139"/>
    <row r="890" ht="15.75" customHeight="1" s="139"/>
    <row r="891" ht="15.75" customHeight="1" s="139"/>
    <row r="892" ht="15.75" customHeight="1" s="139"/>
    <row r="893" ht="15.75" customHeight="1" s="139"/>
    <row r="894" ht="15.75" customHeight="1" s="139"/>
    <row r="895" ht="15.75" customHeight="1" s="139"/>
    <row r="896" ht="15.75" customHeight="1" s="139"/>
    <row r="897" ht="15.75" customHeight="1" s="139"/>
    <row r="898" ht="15.75" customHeight="1" s="139"/>
    <row r="899" ht="15.75" customHeight="1" s="139"/>
    <row r="900" ht="15.75" customHeight="1" s="139"/>
    <row r="901" ht="15.75" customHeight="1" s="139"/>
    <row r="902" ht="15.75" customHeight="1" s="139"/>
    <row r="903" ht="15.75" customHeight="1" s="139"/>
    <row r="904" ht="15.75" customHeight="1" s="139"/>
    <row r="905" ht="15.75" customHeight="1" s="139"/>
    <row r="906" ht="15.75" customHeight="1" s="139"/>
    <row r="907" ht="15.75" customHeight="1" s="139"/>
    <row r="908" ht="15.75" customHeight="1" s="139"/>
    <row r="909" ht="15.75" customHeight="1" s="139"/>
    <row r="910" ht="15.75" customHeight="1" s="139"/>
    <row r="911" ht="15.75" customHeight="1" s="139"/>
    <row r="912" ht="15.75" customHeight="1" s="139"/>
    <row r="913" ht="15.75" customHeight="1" s="139"/>
    <row r="914" ht="15.75" customHeight="1" s="139"/>
    <row r="915" ht="15.75" customHeight="1" s="139"/>
    <row r="916" ht="15.75" customHeight="1" s="139"/>
    <row r="917" ht="15.75" customHeight="1" s="139"/>
    <row r="918" ht="15.75" customHeight="1" s="139"/>
    <row r="919" ht="15.75" customHeight="1" s="139"/>
    <row r="920" ht="15.75" customHeight="1" s="139"/>
    <row r="921" ht="15.75" customHeight="1" s="139"/>
    <row r="922" ht="15.75" customHeight="1" s="139"/>
    <row r="923" ht="15.75" customHeight="1" s="139"/>
    <row r="924" ht="15.75" customHeight="1" s="139"/>
    <row r="925" ht="15.75" customHeight="1" s="139"/>
    <row r="926" ht="15.75" customHeight="1" s="139"/>
    <row r="927" ht="15.75" customHeight="1" s="139"/>
    <row r="928" ht="15.75" customHeight="1" s="139"/>
    <row r="929" ht="15.75" customHeight="1" s="139"/>
    <row r="930" ht="15.75" customHeight="1" s="139"/>
    <row r="931" ht="15.75" customHeight="1" s="139"/>
    <row r="932" ht="15.75" customHeight="1" s="139"/>
    <row r="933" ht="15.75" customHeight="1" s="139"/>
    <row r="934" ht="15.75" customHeight="1" s="139"/>
    <row r="935" ht="15.75" customHeight="1" s="139"/>
    <row r="936" ht="15.75" customHeight="1" s="139"/>
    <row r="937" ht="15.75" customHeight="1" s="139"/>
    <row r="938" ht="15.75" customHeight="1" s="139"/>
    <row r="939" ht="15.75" customHeight="1" s="139"/>
    <row r="940" ht="15.75" customHeight="1" s="139"/>
    <row r="941" ht="15.75" customHeight="1" s="139"/>
    <row r="942" ht="15.75" customHeight="1" s="139"/>
    <row r="943" ht="15.75" customHeight="1" s="139"/>
    <row r="944" ht="15.75" customHeight="1" s="139"/>
    <row r="945" ht="15.75" customHeight="1" s="139"/>
    <row r="946" ht="15.75" customHeight="1" s="139"/>
    <row r="947" ht="15.75" customHeight="1" s="139"/>
    <row r="948" ht="15.75" customHeight="1" s="139"/>
    <row r="949" ht="15.75" customHeight="1" s="139"/>
    <row r="950" ht="15.75" customHeight="1" s="139"/>
    <row r="951" ht="15.75" customHeight="1" s="139"/>
    <row r="952" ht="15.75" customHeight="1" s="139"/>
    <row r="953" ht="15.75" customHeight="1" s="139"/>
    <row r="954" ht="15.75" customHeight="1" s="139"/>
    <row r="955" ht="15.75" customHeight="1" s="139"/>
    <row r="956" ht="15.75" customHeight="1" s="139"/>
    <row r="957" ht="15.75" customHeight="1" s="139"/>
    <row r="958" ht="15.75" customHeight="1" s="139"/>
    <row r="959" ht="15.75" customHeight="1" s="139"/>
    <row r="960" ht="15.75" customHeight="1" s="139"/>
    <row r="961" ht="15.75" customHeight="1" s="139"/>
    <row r="962" ht="15.75" customHeight="1" s="139"/>
    <row r="963" ht="15.75" customHeight="1" s="139"/>
    <row r="964" ht="15.75" customHeight="1" s="139"/>
    <row r="965" ht="15.75" customHeight="1" s="139"/>
    <row r="966" ht="15.75" customHeight="1" s="139"/>
    <row r="967" ht="15.75" customHeight="1" s="139"/>
    <row r="968" ht="15.75" customHeight="1" s="139"/>
    <row r="969" ht="15.75" customHeight="1" s="139"/>
    <row r="970" ht="15.75" customHeight="1" s="139"/>
    <row r="971" ht="15.75" customHeight="1" s="139"/>
    <row r="972" ht="15.75" customHeight="1" s="139"/>
    <row r="973" ht="15.75" customHeight="1" s="139"/>
    <row r="974" ht="15.75" customHeight="1" s="139"/>
    <row r="975" ht="15.75" customHeight="1" s="139"/>
    <row r="976" ht="15.75" customHeight="1" s="139"/>
    <row r="977" ht="15.75" customHeight="1" s="139"/>
    <row r="978" ht="15.75" customHeight="1" s="139"/>
    <row r="979" ht="15.75" customHeight="1" s="139"/>
    <row r="980" ht="15.75" customHeight="1" s="139"/>
    <row r="981" ht="15.75" customHeight="1" s="139"/>
    <row r="982" ht="15.75" customHeight="1" s="139"/>
    <row r="983" ht="15.75" customHeight="1" s="139"/>
    <row r="984" ht="15.75" customHeight="1" s="139"/>
    <row r="985" ht="15.75" customHeight="1" s="139"/>
    <row r="986" ht="15.75" customHeight="1" s="139"/>
    <row r="987" ht="15.75" customHeight="1" s="139"/>
    <row r="988" ht="15.75" customHeight="1" s="139"/>
    <row r="989" ht="15.75" customHeight="1" s="139"/>
    <row r="990" ht="15.75" customHeight="1" s="139"/>
    <row r="991" ht="15.75" customHeight="1" s="139"/>
    <row r="992" ht="15.75" customHeight="1" s="139"/>
    <row r="993" ht="15.75" customHeight="1" s="139"/>
    <row r="994" ht="15.75" customHeight="1" s="139"/>
    <row r="995" ht="15.75" customHeight="1" s="139"/>
    <row r="996" ht="15.75" customHeight="1" s="139"/>
    <row r="997" ht="15.75" customHeight="1" s="139"/>
    <row r="998" ht="15.75" customHeight="1" s="139"/>
    <row r="999" ht="15.75" customHeight="1" s="139"/>
    <row r="1000" ht="15.75" customHeight="1" s="139"/>
  </sheetData>
  <mergeCells count="78">
    <mergeCell ref="C61:F61"/>
    <mergeCell ref="F5:H5"/>
    <mergeCell ref="G62:I62"/>
    <mergeCell ref="F8:H8"/>
    <mergeCell ref="A56:I56"/>
    <mergeCell ref="D6:E6"/>
    <mergeCell ref="A85:I85"/>
    <mergeCell ref="G65:I65"/>
    <mergeCell ref="C62:F62"/>
    <mergeCell ref="F9:H9"/>
    <mergeCell ref="G63:I63"/>
    <mergeCell ref="C64:F64"/>
    <mergeCell ref="D7:E7"/>
    <mergeCell ref="E79:H79"/>
    <mergeCell ref="E89:I89"/>
    <mergeCell ref="E82:H82"/>
    <mergeCell ref="C63:F63"/>
    <mergeCell ref="A30:I30"/>
    <mergeCell ref="F7:H7"/>
    <mergeCell ref="D10:E10"/>
    <mergeCell ref="A46:I46"/>
    <mergeCell ref="G69:I69"/>
    <mergeCell ref="B88:D88"/>
    <mergeCell ref="C67:F67"/>
    <mergeCell ref="A74:I74"/>
    <mergeCell ref="C69:F69"/>
    <mergeCell ref="G64:I64"/>
    <mergeCell ref="E86:I86"/>
    <mergeCell ref="A83:I83"/>
    <mergeCell ref="D9:E9"/>
    <mergeCell ref="G71:I71"/>
    <mergeCell ref="A94:I94"/>
    <mergeCell ref="A1:I1"/>
    <mergeCell ref="A45:I45"/>
    <mergeCell ref="C71:F71"/>
    <mergeCell ref="G66:I66"/>
    <mergeCell ref="A75:I75"/>
    <mergeCell ref="E76:H76"/>
    <mergeCell ref="A3:I3"/>
    <mergeCell ref="A55:I55"/>
    <mergeCell ref="A12:I12"/>
    <mergeCell ref="G68:I68"/>
    <mergeCell ref="B87:D87"/>
    <mergeCell ref="C57:F57"/>
    <mergeCell ref="C66:F66"/>
    <mergeCell ref="E88:I88"/>
    <mergeCell ref="G58:I58"/>
    <mergeCell ref="C68:F68"/>
    <mergeCell ref="A4:I4"/>
    <mergeCell ref="C58:F58"/>
    <mergeCell ref="C65:F65"/>
    <mergeCell ref="B91:D91"/>
    <mergeCell ref="E78:H78"/>
    <mergeCell ref="F6:H6"/>
    <mergeCell ref="G70:I70"/>
    <mergeCell ref="D5:E5"/>
    <mergeCell ref="E80:H80"/>
    <mergeCell ref="C60:F60"/>
    <mergeCell ref="B86:D86"/>
    <mergeCell ref="C70:F70"/>
    <mergeCell ref="G57:I57"/>
    <mergeCell ref="E81:H81"/>
    <mergeCell ref="E87:I87"/>
    <mergeCell ref="A29:I29"/>
    <mergeCell ref="B89:D89"/>
    <mergeCell ref="E90:I90"/>
    <mergeCell ref="G60:I60"/>
    <mergeCell ref="A13:I13"/>
    <mergeCell ref="G59:I59"/>
    <mergeCell ref="D8:E8"/>
    <mergeCell ref="B90:D90"/>
    <mergeCell ref="F10:H10"/>
    <mergeCell ref="A73:I73"/>
    <mergeCell ref="E91:I91"/>
    <mergeCell ref="G67:I67"/>
    <mergeCell ref="G61:I61"/>
    <mergeCell ref="C59:F59"/>
    <mergeCell ref="E77:H77"/>
  </mergeCells>
  <pageMargins left="0.75" right="0.75" top="1" bottom="1"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3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 customHeight="1"/>
  <cols>
    <col width="44" customWidth="1" style="139" min="1" max="1"/>
    <col width="36.63" customWidth="1" style="139" min="2" max="2"/>
    <col width="21.63" customWidth="1" style="139" min="3" max="3"/>
    <col width="10" customWidth="1" style="139" min="4" max="4"/>
    <col width="11" customWidth="1" style="139" min="5" max="5"/>
    <col width="10" customWidth="1" style="139" min="6" max="6"/>
    <col width="11" customWidth="1" style="139" min="7" max="7"/>
    <col width="15" customWidth="1" style="139" min="8" max="8"/>
    <col width="69.63" customWidth="1" style="139" min="9" max="9"/>
    <col width="58" customWidth="1" style="139" min="10" max="10"/>
    <col width="8.630000000000001" customWidth="1" style="139" min="11" max="26"/>
  </cols>
  <sheetData>
    <row r="1">
      <c r="A1" s="5" t="inlineStr">
        <is>
          <t>KẾT QUẢ</t>
        </is>
      </c>
      <c r="B1" s="2" t="n"/>
      <c r="C1" s="2" t="n"/>
      <c r="D1" s="2" t="n"/>
      <c r="E1" s="2" t="n"/>
      <c r="F1" s="2" t="n"/>
      <c r="G1" s="2" t="n"/>
      <c r="H1" s="2" t="n"/>
      <c r="I1" s="2" t="n"/>
      <c r="J1" s="2" t="n"/>
    </row>
    <row r="2">
      <c r="A2" s="8" t="inlineStr">
        <is>
          <t>0. Dataset</t>
        </is>
      </c>
      <c r="B2" s="8" t="n"/>
      <c r="C2" s="8" t="n"/>
      <c r="D2" s="8" t="n"/>
      <c r="E2" s="8" t="n"/>
      <c r="F2" s="8" t="n"/>
      <c r="G2" s="8" t="n"/>
      <c r="H2" s="8" t="n"/>
      <c r="I2" s="8" t="n"/>
      <c r="J2" s="8" t="n"/>
    </row>
    <row r="3">
      <c r="A3" s="2" t="inlineStr">
        <is>
          <t>CLIP oracle cao vì dataset có các frame positive nằm trong abnormal clip và abnormal clips có quá ít negative frames, và phần lớn negative frames nằm trong normal clips</t>
        </is>
      </c>
      <c r="B3" s="11" t="n"/>
      <c r="C3" s="2" t="n"/>
      <c r="D3" s="2" t="n"/>
      <c r="E3" s="2" t="n"/>
      <c r="F3" s="2" t="n"/>
      <c r="G3" s="2" t="n"/>
      <c r="H3" s="2" t="n"/>
      <c r="I3" s="2" t="n"/>
      <c r="J3" s="2" t="n"/>
    </row>
    <row r="4">
      <c r="A4" s="13" t="inlineStr">
        <is>
          <t>0.1 Insights của dataset</t>
        </is>
      </c>
      <c r="B4" s="2" t="n"/>
      <c r="C4" s="2" t="n"/>
      <c r="D4" s="2" t="n"/>
      <c r="E4" s="2" t="n"/>
      <c r="F4" s="2" t="n"/>
      <c r="G4" s="2" t="n"/>
      <c r="H4" s="2" t="n"/>
      <c r="I4" s="2" t="n"/>
      <c r="J4" s="2" t="n"/>
    </row>
    <row r="5">
      <c r="A5" s="12" t="inlineStr">
        <is>
          <t>Bộ dữ liệu</t>
        </is>
      </c>
      <c r="B5" s="12" t="inlineStr">
        <is>
          <t>Vai trò</t>
        </is>
      </c>
      <c r="C5" s="12" t="inlineStr">
        <is>
          <t>Clip oracle (micro)</t>
        </is>
      </c>
      <c r="D5" s="12" t="inlineStr">
        <is>
          <t>Rò rỉ độ dài (micro)</t>
        </is>
      </c>
      <c r="E5" s="12" t="inlineStr">
        <is>
          <t>Frame linear probe (macro)</t>
        </is>
      </c>
      <c r="F5" s="12" t="inlineStr">
        <is>
          <t>Tỉ lệ frame dương</t>
        </is>
      </c>
      <c r="G5" s="12" t="inlineStr">
        <is>
          <t>Clip 2 lớp</t>
        </is>
      </c>
      <c r="H5" s="12" t="n"/>
      <c r="I5" s="12" t="inlineStr">
        <is>
          <t>Note</t>
        </is>
      </c>
    </row>
    <row r="6">
      <c r="A6" s="16" t="inlineStr">
        <is>
          <t>DoTA</t>
        </is>
      </c>
      <c r="B6" s="16" t="inlineStr">
        <is>
          <t>Benchmark zero-shot</t>
        </is>
      </c>
      <c r="C6" s="18" t="n">
        <v>0.5017</v>
      </c>
      <c r="D6" s="20" t="n">
        <v>0.4993</v>
      </c>
      <c r="E6" s="20" t="n">
        <v>0.6708</v>
      </c>
      <c r="F6" s="20" t="n">
        <v>0.3313</v>
      </c>
      <c r="G6" s="22" t="n">
        <v>1392</v>
      </c>
      <c r="H6" s="22" t="n"/>
      <c r="I6" s="16" t="inlineStr">
        <is>
          <t>oracle ≈ 0.50 nên micro ở đây thật sự đo định vị. Mọi so sánh của đề tài được định nghĩa bằng việc DoTA chưa từng được nhìn thấy.</t>
        </is>
      </c>
    </row>
    <row r="7">
      <c r="A7" s="24" t="inlineStr">
        <is>
          <t>MSAD</t>
        </is>
      </c>
      <c r="B7" s="24" t="inlineStr">
        <is>
          <t>Corpus huấn luyện CCTV</t>
        </is>
      </c>
      <c r="C7" s="24" t="n"/>
      <c r="D7" s="27" t="n"/>
      <c r="E7" s="27" t="n"/>
      <c r="F7" s="27" t="n"/>
      <c r="G7" s="27" t="n">
        <v>96</v>
      </c>
      <c r="H7" s="27" t="n"/>
      <c r="I7" s="24" t="n"/>
    </row>
    <row r="8">
      <c r="A8" s="24" t="inlineStr">
        <is>
          <t>PreVAD</t>
        </is>
      </c>
      <c r="B8" s="24" t="inlineStr">
        <is>
          <t>Dataset được sử dụng bởi
LaGoVAD để train</t>
        </is>
      </c>
      <c r="C8" s="24" t="n"/>
      <c r="D8" s="27" t="n"/>
      <c r="E8" s="27" t="n"/>
      <c r="F8" s="27" t="n"/>
      <c r="G8" s="27" t="n">
        <v>1078</v>
      </c>
      <c r="H8" s="27" t="n"/>
      <c r="I8" s="24" t="n"/>
    </row>
    <row r="9">
      <c r="A9" s="31" t="inlineStr">
        <is>
          <t>TAD</t>
        </is>
      </c>
      <c r="B9" s="31" t="inlineStr">
        <is>
          <t>Tập dataset LaGoVAD dùng
làm test set zero-shot</t>
        </is>
      </c>
      <c r="C9" s="33" t="n">
        <v>0.9226</v>
      </c>
      <c r="D9" s="34" t="n">
        <v>0.8968</v>
      </c>
      <c r="E9" s="36" t="n"/>
      <c r="F9" s="34" t="n">
        <v>0.07240000000000001</v>
      </c>
      <c r="G9" s="36" t="n">
        <v>60</v>
      </c>
      <c r="H9" s="36" t="n"/>
      <c r="I9" s="31" t="inlineStr">
        <is>
          <t>oracle 0.9226. Mô hình có thể dựa vào số lượng frame để đoán label</t>
        </is>
      </c>
    </row>
    <row r="10">
      <c r="A10" s="31" t="inlineStr">
        <is>
          <t>DADA-2000 bản đã cắt bỏ bớt</t>
        </is>
      </c>
      <c r="B10" s="31" t="inlineStr">
        <is>
          <t>Chạy train thử</t>
        </is>
      </c>
      <c r="C10" s="33" t="n">
        <v>0.9086</v>
      </c>
      <c r="D10" s="34" t="n">
        <v>0.8653999999999999</v>
      </c>
      <c r="E10" s="34" t="n">
        <v>0.5228</v>
      </c>
      <c r="F10" s="34" t="n">
        <v>0.09080000000000001</v>
      </c>
      <c r="G10" s="36" t="n">
        <v>190</v>
      </c>
      <c r="H10" s="36" t="n"/>
      <c r="I10" s="31" t="inlineStr">
        <is>
          <t>Rò rỉ nhãn qua độ dài clip score head bao cả clip dùng score head bằng 9 làm
cho mô hình nhìn cả clip để ra label thay vì 1 đoạn</t>
        </is>
      </c>
    </row>
    <row r="11">
      <c r="A11" s="16" t="inlineStr">
        <is>
          <t>DADA-2000 GỐC / T2 W=20</t>
        </is>
      </c>
      <c r="B11" s="16" t="inlineStr">
        <is>
          <t>CORPUS HUẤN LUYỆN HIỆN TẠI</t>
        </is>
      </c>
      <c r="C11" s="18" t="n">
        <v>0.7037</v>
      </c>
      <c r="D11" s="20" t="n">
        <v>0.5</v>
      </c>
      <c r="E11" s="20" t="n">
        <v>0.5983000000000001</v>
      </c>
      <c r="F11" s="20" t="n">
        <v>0.3318</v>
      </c>
      <c r="G11" s="22" t="n">
        <v>798</v>
      </c>
      <c r="H11" s="22" t="n"/>
      <c r="I11" s="16" t="inlineStr">
        <is>
          <t>Rò rỉ đóng hoàn toàn (0.5000) do negative được cắt từ CHÍNH video tai nạn, tuy nhiên cắt window slide = 20 làm clip bị ngắn còn khoảng hơn 5s 1 window (30fps, stride = 8, windown = 20)</t>
        </is>
      </c>
    </row>
    <row r="12">
      <c r="A12" s="2" t="n"/>
      <c r="B12" s="2" t="n"/>
      <c r="C12" s="2" t="n"/>
      <c r="D12" s="2" t="n"/>
      <c r="E12" s="2" t="n"/>
      <c r="F12" s="2" t="n"/>
      <c r="G12" s="2" t="n"/>
      <c r="H12" s="2" t="n"/>
      <c r="I12" s="2" t="n"/>
      <c r="J12" s="2" t="n"/>
    </row>
    <row r="13" ht="15.75" customHeight="1" s="139">
      <c r="A13" s="8" t="inlineStr">
        <is>
          <t>1. BASELINE TRAINING SO VỚI BÀI BÁO</t>
        </is>
      </c>
      <c r="B13" s="8" t="n"/>
      <c r="C13" s="8" t="n"/>
      <c r="D13" s="8" t="n"/>
      <c r="E13" s="8" t="n"/>
      <c r="F13" s="8" t="n"/>
      <c r="G13" s="8" t="n"/>
      <c r="H13" s="8" t="n"/>
      <c r="I13" s="8" t="n"/>
      <c r="J13" s="8" t="n"/>
    </row>
    <row r="14" ht="15.75" customHeight="1" s="139">
      <c r="A14" s="43" t="n"/>
    </row>
    <row r="15" ht="15.75" customHeight="1" s="139">
      <c r="A15" s="12" t="inlineStr">
        <is>
          <t>Dataset</t>
        </is>
      </c>
      <c r="B15" s="12" t="inlineStr">
        <is>
          <t>Checkpoint / arm</t>
        </is>
      </c>
      <c r="C15" s="12" t="inlineStr">
        <is>
          <t>Epoch</t>
        </is>
      </c>
      <c r="D15" s="12" t="inlineStr">
        <is>
          <t>micro AUC</t>
        </is>
      </c>
      <c r="E15" s="12" t="inlineStr">
        <is>
          <t>AP</t>
        </is>
      </c>
      <c r="F15" s="12" t="inlineStr">
        <is>
          <t>macro AUC</t>
        </is>
      </c>
      <c r="G15" s="12" t="inlineStr">
        <is>
          <t>Bài báo (LaGoVAD)</t>
        </is>
      </c>
      <c r="H15" s="12" t="inlineStr">
        <is>
          <t>Chênh vs bài báo</t>
        </is>
      </c>
      <c r="I15" s="12" t="inlineStr">
        <is>
          <t>Kết luận</t>
        </is>
      </c>
    </row>
    <row r="16" ht="15.75" customHeight="1" s="139">
      <c r="A16" s="16" t="inlineStr">
        <is>
          <t>MSAD</t>
        </is>
      </c>
      <c r="B16" s="16" t="inlineStr">
        <is>
          <t>LaGoVAD `best.ckpt`</t>
        </is>
      </c>
      <c r="C16" s="22" t="inlineStr">
        <is>
          <t>—</t>
        </is>
      </c>
      <c r="D16" s="20" t="n">
        <v>0.8948972556793215</v>
      </c>
      <c r="E16" s="20" t="n">
        <v>0.6432002681760793</v>
      </c>
      <c r="F16" s="20" t="n">
        <v>0.7177394210228485</v>
      </c>
      <c r="G16" s="20" t="n">
        <v>0.9041</v>
      </c>
      <c r="H16" s="20" t="n">
        <v>-0.009202744320678469</v>
      </c>
      <c r="I16" s="16" t="inlineStr">
        <is>
          <t>ĐẠT. Chênh −0.0092 so với số in; Số in 0.9041 không đạt được ngay cả với checkpoint public của LaGoVAD</t>
        </is>
      </c>
    </row>
    <row r="17" ht="15.75" customHeight="1" s="139">
      <c r="A17" s="16" t="inlineStr">
        <is>
          <t>DoTA (zero-shot)</t>
        </is>
      </c>
      <c r="B17" s="16" t="inlineStr">
        <is>
          <t>LaGoVAD `best.ckpt`</t>
        </is>
      </c>
      <c r="C17" s="22" t="inlineStr">
        <is>
          <t>—</t>
        </is>
      </c>
      <c r="D17" s="20" t="n">
        <v>0.6012019195461271</v>
      </c>
      <c r="E17" s="20" t="n">
        <v>0.3776627752057543</v>
      </c>
      <c r="F17" s="20" t="n">
        <v>0.6157947811487557</v>
      </c>
      <c r="G17" s="20" t="n">
        <v>0.626</v>
      </c>
      <c r="H17" s="20" t="n">
        <v>-0.02479808045387288</v>
      </c>
      <c r="I17" s="16" t="inlineStr">
        <is>
          <t>ĐẠT. Chuẩn pooling min-max theo clip là thứ quyết định: cùng checkpoint đó, pooling raw chỉ cho 0.5055 (≈ ngẫu nhiên).</t>
        </is>
      </c>
    </row>
    <row r="18" ht="26.25" customHeight="1" s="139">
      <c r="A18" s="16" t="inlineStr">
        <is>
          <t>PreVAD (in-domain)</t>
        </is>
      </c>
      <c r="B18" s="16" t="inlineStr">
        <is>
          <t>LaGoVAD `best.ckpt`</t>
        </is>
      </c>
      <c r="C18" s="22" t="inlineStr">
        <is>
          <t>—</t>
        </is>
      </c>
      <c r="D18" s="20" t="n">
        <v>0.9031384340414855</v>
      </c>
      <c r="E18" s="20" t="n">
        <v>0.6909640691149829</v>
      </c>
      <c r="F18" s="20" t="n">
        <v>0.6721292701337095</v>
      </c>
      <c r="G18" s="22" t="n"/>
      <c r="H18" s="22" t="n"/>
      <c r="I18" s="16" t="inlineStr">
        <is>
          <t>ĐẠT không có kết quả test set trên PreVAD được bài báo công bố</t>
        </is>
      </c>
    </row>
    <row r="19" ht="24.75" customHeight="1" s="139">
      <c r="A19" s="16" t="inlineStr">
        <is>
          <t>Train trên PreVAD</t>
        </is>
      </c>
      <c r="B19" s="16" t="inlineStr">
        <is>
          <t>checkpoint khi train trên PreVAD + KIP off</t>
        </is>
      </c>
      <c r="C19" s="22" t="inlineStr">
        <is>
          <t>13,360</t>
        </is>
      </c>
      <c r="D19" s="20" t="n">
        <v>0.900676646708846</v>
      </c>
      <c r="E19" s="20" t="n">
        <v>0.69021349421803</v>
      </c>
      <c r="F19" s="20" t="n">
        <v>0.6709286192623877</v>
      </c>
      <c r="G19" s="22" t="n"/>
      <c r="H19" s="20" t="n">
        <v>-0.002461787332639576</v>
      </c>
      <c r="I19" s="16" t="inlineStr">
        <is>
          <t>ĐẠT kết quả gần như giống với checkpoint đã public của LaGoVAD</t>
        </is>
      </c>
    </row>
    <row r="20" ht="15.75" customHeight="1" s="139">
      <c r="A20" s="48" t="inlineStr">
        <is>
          <t>TAD (zero-shot)</t>
        </is>
      </c>
      <c r="B20" s="48" t="inlineStr">
        <is>
          <t>LaGoVAD `best.ckpt`</t>
        </is>
      </c>
      <c r="C20" s="49" t="inlineStr">
        <is>
          <t>—</t>
        </is>
      </c>
      <c r="D20" s="50" t="n">
        <v>0.7912276720351391</v>
      </c>
      <c r="E20" s="50" t="n">
        <v>0.2570523517306796</v>
      </c>
      <c r="F20" s="50" t="n">
        <v>0.7578264834388191</v>
      </c>
      <c r="G20" s="50" t="n">
        <v>0.8956</v>
      </c>
      <c r="H20" s="50" t="n">
        <v>-0.1043723279648608</v>
      </c>
      <c r="I20" s="48" t="inlineStr">
        <is>
          <t>TRƯỢT −0.1044 NHƯNG ĐÃ CHẨN ĐOÁN, không phải lỗi pipeline: nhãn khớp 100/100, stride và pooling khớp, macro 0.7578 chứng minh thứ tự frame là đúng (xáo frame → ≈ 0.50). Phần dư là do micro có trọng số theo độ dài clip (cân đều mỗi clip thì tụt còn 0.6574). 0.7912 là mốc, 89.56 là dùng test set là center cropped</t>
        </is>
      </c>
    </row>
    <row r="21" ht="15.75" customHeight="1" s="139">
      <c r="A21" s="16" t="inlineStr">
        <is>
          <t>DADA-2000 bản gốc (~400 clip)</t>
        </is>
      </c>
      <c r="B21" s="16" t="inlineStr">
        <is>
          <t>linear probe có giám sát — KHÔNG huấn luyện</t>
        </is>
      </c>
      <c r="C21" s="22" t="inlineStr">
        <is>
          <t>—</t>
        </is>
      </c>
      <c r="D21" s="22" t="n"/>
      <c r="E21" s="22" t="n"/>
      <c r="F21" s="20" t="n">
        <v>0.6518</v>
      </c>
      <c r="G21" s="22" t="n"/>
      <c r="H21" s="22" t="n"/>
      <c r="I21" s="16" t="inlineStr">
        <is>
          <t>ĐẠT. Trong khi đó DoTA 0.6708</t>
        </is>
      </c>
    </row>
    <row r="22" ht="15.75" customHeight="1" s="139">
      <c r="A22" s="2" t="n"/>
      <c r="B22" s="2" t="n"/>
      <c r="C22" s="2" t="n"/>
      <c r="D22" s="2" t="n"/>
      <c r="E22" s="2" t="n"/>
      <c r="F22" s="2" t="n"/>
      <c r="G22" s="2" t="n"/>
      <c r="H22" s="2" t="n"/>
      <c r="I22" s="2" t="n"/>
      <c r="J22" s="2" t="n"/>
    </row>
    <row r="23" ht="15.75" customHeight="1" s="139">
      <c r="A23" s="8" t="inlineStr">
        <is>
          <t>2. Thí nghiệm train trên MSAD và test trên DoTA</t>
        </is>
      </c>
      <c r="B23" s="8" t="n"/>
      <c r="C23" s="8" t="n"/>
      <c r="D23" s="8" t="n"/>
      <c r="E23" s="8" t="n"/>
      <c r="F23" s="8" t="n"/>
      <c r="G23" s="8" t="n"/>
      <c r="H23" s="8" t="n"/>
      <c r="I23" s="8" t="n"/>
      <c r="J23" s="8" t="n"/>
    </row>
    <row r="24" ht="15.75" customHeight="1" s="139">
      <c r="A24" s="43" t="n"/>
    </row>
    <row r="25" ht="15.75" customHeight="1" s="139">
      <c r="A25" s="13" t="inlineStr">
        <is>
          <t>2.1 MSAD, in-domain (240 clip test, 18.350 frame, pooling raw)</t>
        </is>
      </c>
      <c r="B25" s="2" t="n"/>
      <c r="C25" s="2" t="n"/>
      <c r="D25" s="2" t="n"/>
      <c r="E25" s="2" t="n"/>
      <c r="F25" s="2" t="n"/>
      <c r="G25" s="2" t="n"/>
      <c r="H25" s="2" t="n"/>
      <c r="I25" s="2" t="n"/>
      <c r="J25" s="2" t="n"/>
    </row>
    <row r="26" ht="15.75" customHeight="1" s="139">
      <c r="A26" s="12" t="inlineStr">
        <is>
          <t>Arm</t>
        </is>
      </c>
      <c r="B26" s="12" t="inlineStr">
        <is>
          <t>Khởi tạo stage-2</t>
        </is>
      </c>
      <c r="C26" s="12" t="inlineStr">
        <is>
          <t>Đánh giá trên</t>
        </is>
      </c>
      <c r="D26" s="12" t="inlineStr">
        <is>
          <t>Bước</t>
        </is>
      </c>
      <c r="E26" s="12" t="inlineStr">
        <is>
          <t>micro AUC</t>
        </is>
      </c>
      <c r="F26" s="12" t="inlineStr">
        <is>
          <t>AP</t>
        </is>
      </c>
      <c r="G26" s="12" t="inlineStr">
        <is>
          <t>macro AUC</t>
        </is>
      </c>
      <c r="H26" s="12" t="inlineStr">
        <is>
          <t>Bài báo (LaGoVAD)</t>
        </is>
      </c>
      <c r="I26" s="12" t="inlineStr">
        <is>
          <t>Chênh vs bài báo</t>
        </is>
      </c>
      <c r="J26" s="12" t="inlineStr">
        <is>
          <t>Ghi chú</t>
        </is>
      </c>
    </row>
    <row r="27" ht="15.75" customHeight="1" s="139">
      <c r="A27" s="24" t="inlineStr">
        <is>
          <t>KIP-off</t>
        </is>
      </c>
      <c r="B27" s="24" t="inlineStr">
        <is>
          <t>ngẫu nhiên</t>
        </is>
      </c>
      <c r="C27" s="24" t="inlineStr">
        <is>
          <t>MSAD</t>
        </is>
      </c>
      <c r="D27" s="27" t="inlineStr">
        <is>
          <t>500</t>
        </is>
      </c>
      <c r="E27" s="60" t="n">
        <v>0.886742483193188</v>
      </c>
      <c r="F27" s="60" t="n">
        <v>0.6561895031402268</v>
      </c>
      <c r="G27" s="60" t="n">
        <v>0.691183181257672</v>
      </c>
      <c r="H27" s="60" t="n">
        <v>0.9041</v>
      </c>
      <c r="I27" s="60" t="n">
        <v>-0.01735751680681197</v>
      </c>
      <c r="J27" s="24" t="inlineStr">
        <is>
          <t>Trung bình 3 seed.</t>
        </is>
      </c>
    </row>
    <row r="28" ht="15.75" customHeight="1" s="139">
      <c r="A28" s="24" t="inlineStr">
        <is>
          <t>KIP-on</t>
        </is>
      </c>
      <c r="B28" s="24" t="inlineStr">
        <is>
          <t>stage-1 KIP (frozen các thứ khác ngoài KIP)</t>
        </is>
      </c>
      <c r="C28" s="24" t="inlineStr">
        <is>
          <t>MSAD</t>
        </is>
      </c>
      <c r="D28" s="27" t="inlineStr">
        <is>
          <t>500</t>
        </is>
      </c>
      <c r="E28" s="60" t="n">
        <v>0.8848407168148618</v>
      </c>
      <c r="F28" s="60" t="n">
        <v>0.6498733002035729</v>
      </c>
      <c r="G28" s="60" t="n">
        <v>0.7126302254675134</v>
      </c>
      <c r="H28" s="60" t="n">
        <v>0.9041</v>
      </c>
      <c r="I28" s="60" t="n">
        <v>-0.01925928318513825</v>
      </c>
      <c r="J28" s="24" t="inlineStr">
        <is>
          <t>Trung bình 3 seed.</t>
        </is>
      </c>
    </row>
    <row r="29" ht="15.75" customHeight="1" s="139">
      <c r="A29" s="16" t="inlineStr">
        <is>
          <t>PreVAD-trunk → KIP-off</t>
        </is>
      </c>
      <c r="B29" s="16" t="inlineStr">
        <is>
          <t>trunk PreVAD</t>
        </is>
      </c>
      <c r="C29" s="24" t="inlineStr">
        <is>
          <t>MSAD</t>
        </is>
      </c>
      <c r="D29" s="22" t="inlineStr">
        <is>
          <t>160</t>
        </is>
      </c>
      <c r="E29" s="20" t="n">
        <v>0.8987832069398466</v>
      </c>
      <c r="F29" s="20" t="n">
        <v>0.7035841826984023</v>
      </c>
      <c r="G29" s="20" t="n">
        <v>0.7109745214492538</v>
      </c>
      <c r="H29" s="20" t="n">
        <v>0.9041</v>
      </c>
      <c r="I29" s="20" t="n">
        <v>-0.005316793060153424</v>
      </c>
      <c r="J29" s="16" t="inlineStr">
        <is>
          <t>KẾT QUẢ MSAD TỐT NHẤT đề tài từng tạo ra — vượt cả checkpoint phát hành (+0.0039 AUC, +0.0604 AP, khoảng tin cậy theo seed không chứa 0), và chỉ còn kém số in 0.0053.</t>
        </is>
      </c>
    </row>
    <row r="30" ht="15.75" customHeight="1" s="139">
      <c r="A30" s="24" t="inlineStr">
        <is>
          <t>PreVAD-trunk → KIP-on</t>
        </is>
      </c>
      <c r="B30" s="24" t="inlineStr">
        <is>
          <t>trunk PreVAD</t>
        </is>
      </c>
      <c r="C30" s="24" t="inlineStr">
        <is>
          <t>MSAD</t>
        </is>
      </c>
      <c r="D30" s="27" t="inlineStr">
        <is>
          <t>160</t>
        </is>
      </c>
      <c r="E30" s="60" t="n">
        <v>0.8956579253356053</v>
      </c>
      <c r="F30" s="60" t="n">
        <v>0.6966166111900848</v>
      </c>
      <c r="G30" s="60" t="n">
        <v>0.719366724800754</v>
      </c>
      <c r="H30" s="60" t="n">
        <v>0.9041</v>
      </c>
      <c r="I30" s="60" t="n">
        <v>-0.008442074664394728</v>
      </c>
      <c r="J30" s="24" t="inlineStr">
        <is>
          <t>Trung bình 3 seed.</t>
        </is>
      </c>
    </row>
    <row r="31" ht="15.75" customHeight="1" s="139">
      <c r="A31" s="48" t="inlineStr">
        <is>
          <t>- tham chiếu: LaGoVAD `best.ckpt`</t>
        </is>
      </c>
      <c r="B31" s="48" t="inlineStr">
        <is>
          <t>—</t>
        </is>
      </c>
      <c r="C31" s="63" t="inlineStr">
        <is>
          <t>MSAD</t>
        </is>
      </c>
      <c r="D31" s="49" t="inlineStr">
        <is>
          <t>—</t>
        </is>
      </c>
      <c r="E31" s="50" t="n">
        <v>0.8948972556793215</v>
      </c>
      <c r="F31" s="50" t="n">
        <v>0.6432002681760793</v>
      </c>
      <c r="G31" s="50" t="n">
        <v>0.7177394210228485</v>
      </c>
      <c r="H31" s="50" t="n">
        <v>0.9041</v>
      </c>
      <c r="I31" s="50" t="n">
        <v>-0.009202744320678469</v>
      </c>
      <c r="J31" s="48" t="inlineStr">
        <is>
          <t>Mốc C8b.</t>
        </is>
      </c>
    </row>
    <row r="32" ht="15.75" customHeight="1" s="139">
      <c r="A32" s="48" t="inlineStr">
        <is>
          <t>- tham chiếu: số trong bài báo</t>
        </is>
      </c>
      <c r="B32" s="48" t="inlineStr">
        <is>
          <t>—</t>
        </is>
      </c>
      <c r="C32" s="63" t="inlineStr">
        <is>
          <t>MSAD</t>
        </is>
      </c>
      <c r="D32" s="49" t="inlineStr">
        <is>
          <t>—</t>
        </is>
      </c>
      <c r="E32" s="50" t="n">
        <v>0.9041</v>
      </c>
      <c r="F32" s="49" t="n"/>
      <c r="G32" s="49" t="n"/>
      <c r="H32" s="50" t="n">
        <v>0.9041</v>
      </c>
      <c r="I32" s="49" t="n"/>
      <c r="J32" s="48" t="inlineStr">
        <is>
          <t>Không tái lập được bằng chính checkpoint của họ → không dùng làm mốc.</t>
        </is>
      </c>
    </row>
    <row r="33" ht="15.75" customHeight="1" s="139">
      <c r="A33" s="2" t="n"/>
      <c r="B33" s="2" t="n"/>
      <c r="C33" s="2" t="n"/>
      <c r="D33" s="2" t="n"/>
      <c r="E33" s="2" t="n"/>
      <c r="F33" s="2" t="n"/>
      <c r="G33" s="2" t="n"/>
      <c r="H33" s="2" t="n"/>
      <c r="I33" s="2" t="n"/>
      <c r="J33" s="2" t="n"/>
    </row>
    <row r="34" ht="15.75" customHeight="1" s="139">
      <c r="A34" s="13" t="inlineStr">
        <is>
          <t>2.2 DoTA zero-shot — cùng các checkpoint trên, chấm trên DoTA (1.397 clip, min-max theo clip)</t>
        </is>
      </c>
      <c r="B34" s="2" t="n"/>
      <c r="C34" s="2" t="n"/>
      <c r="D34" s="2" t="n"/>
      <c r="E34" s="2" t="n"/>
      <c r="F34" s="2" t="n"/>
      <c r="G34" s="2" t="n"/>
      <c r="H34" s="2" t="n"/>
      <c r="I34" s="2" t="n"/>
      <c r="J34" s="2" t="n"/>
    </row>
    <row r="35" ht="15.75" customHeight="1" s="139">
      <c r="A35" s="12" t="inlineStr">
        <is>
          <t>Arm</t>
        </is>
      </c>
      <c r="B35" s="12" t="inlineStr">
        <is>
          <t>Huấn luyện trên</t>
        </is>
      </c>
      <c r="C35" s="12" t="inlineStr">
        <is>
          <t>Đánh giá trên</t>
        </is>
      </c>
      <c r="D35" s="12" t="inlineStr">
        <is>
          <t>Bước</t>
        </is>
      </c>
      <c r="E35" s="12" t="inlineStr">
        <is>
          <t>micro AUC</t>
        </is>
      </c>
      <c r="F35" s="12" t="inlineStr">
        <is>
          <t>AP</t>
        </is>
      </c>
      <c r="G35" s="12" t="inlineStr">
        <is>
          <t>macro AUC</t>
        </is>
      </c>
      <c r="H35" s="12" t="inlineStr">
        <is>
          <t>Bài báo (LaGoVAD)</t>
        </is>
      </c>
      <c r="I35" s="12" t="inlineStr">
        <is>
          <t>Chênh vs bài báo</t>
        </is>
      </c>
      <c r="J35" s="12" t="inlineStr">
        <is>
          <t>Ghi chú</t>
        </is>
      </c>
    </row>
    <row r="36" ht="15.75" customHeight="1" s="139">
      <c r="A36" s="24" t="inlineStr">
        <is>
          <t>KIP-off</t>
        </is>
      </c>
      <c r="B36" s="24" t="inlineStr">
        <is>
          <t>MSAD</t>
        </is>
      </c>
      <c r="C36" s="24" t="inlineStr">
        <is>
          <t>DoTA</t>
        </is>
      </c>
      <c r="D36" s="27" t="inlineStr">
        <is>
          <t>500</t>
        </is>
      </c>
      <c r="E36" s="60" t="n">
        <v>0.5491482670432674</v>
      </c>
      <c r="F36" s="60" t="n">
        <v>0.3395947812133814</v>
      </c>
      <c r="G36" s="60" t="n">
        <v>0.5453244389908164</v>
      </c>
      <c r="H36" s="60" t="n">
        <v>0.626</v>
      </c>
      <c r="I36" s="60" t="n">
        <v>-0.07685173295673264</v>
      </c>
      <c r="J36" s="24" t="inlineStr">
        <is>
          <t>Trung bình 3 seed.</t>
        </is>
      </c>
    </row>
    <row r="37" ht="15.75" customHeight="1" s="139">
      <c r="A37" s="16" t="inlineStr">
        <is>
          <t>KIP-on</t>
        </is>
      </c>
      <c r="B37" s="16" t="inlineStr">
        <is>
          <t>MSAD</t>
        </is>
      </c>
      <c r="C37" s="16" t="inlineStr">
        <is>
          <t>DoTA</t>
        </is>
      </c>
      <c r="D37" s="22" t="inlineStr">
        <is>
          <t>500</t>
        </is>
      </c>
      <c r="E37" s="20" t="n">
        <v>0.6407787554304429</v>
      </c>
      <c r="F37" s="20" t="n">
        <v>0.4166266438849932</v>
      </c>
      <c r="G37" s="20" t="n">
        <v>0.6528900828935487</v>
      </c>
      <c r="H37" s="20" t="n">
        <v>0.626</v>
      </c>
      <c r="I37" s="20" t="n">
        <v>0.01477875543044294</v>
      </c>
      <c r="J37" s="16" t="inlineStr">
        <is>
          <t>Số DoTA cao nhất đề tài từng tạo ra, và là mốc mà mọi corpus huấn luyện mới phải vượt: micro 0.6408 / macro 0.6529. Vượt cả checkpoint best của LaGoVAD (0.6012) lẫn số của bài báo (0.6260)</t>
        </is>
      </c>
    </row>
    <row r="38" ht="15.75" customHeight="1" s="139">
      <c r="A38" s="24" t="inlineStr">
        <is>
          <t>PreVAD-trunk → KIP-off</t>
        </is>
      </c>
      <c r="B38" s="24" t="inlineStr">
        <is>
          <t>PreVAD → MSAD</t>
        </is>
      </c>
      <c r="C38" s="24" t="inlineStr">
        <is>
          <t>DoTA</t>
        </is>
      </c>
      <c r="D38" s="27" t="inlineStr">
        <is>
          <t>160</t>
        </is>
      </c>
      <c r="E38" s="60" t="n">
        <v>0.5867403351673496</v>
      </c>
      <c r="F38" s="60" t="n">
        <v>0.3700871713233857</v>
      </c>
      <c r="G38" s="60" t="n">
        <v>0.6015098766242234</v>
      </c>
      <c r="H38" s="60" t="n">
        <v>0.626</v>
      </c>
      <c r="I38" s="60" t="n">
        <v>-0.03925966483265042</v>
      </c>
      <c r="J38" s="24" t="inlineStr">
        <is>
          <t>Trung bình 3 seed.</t>
        </is>
      </c>
    </row>
    <row r="39" ht="15.75" customHeight="1" s="139">
      <c r="A39" s="24" t="inlineStr">
        <is>
          <t>PreVAD-trunk → KIP-on</t>
        </is>
      </c>
      <c r="B39" s="24" t="inlineStr">
        <is>
          <t>PreVAD → MSAD-full</t>
        </is>
      </c>
      <c r="C39" s="24" t="inlineStr">
        <is>
          <t>DoTA</t>
        </is>
      </c>
      <c r="D39" s="27" t="inlineStr">
        <is>
          <t>160</t>
        </is>
      </c>
      <c r="E39" s="60" t="n">
        <v>0.5843158225814267</v>
      </c>
      <c r="F39" s="60" t="n">
        <v>0.3669085135743158</v>
      </c>
      <c r="G39" s="60" t="n">
        <v>0.6003925745222952</v>
      </c>
      <c r="H39" s="60" t="n">
        <v>0.626</v>
      </c>
      <c r="I39" s="60" t="n">
        <v>-0.04168417741857333</v>
      </c>
      <c r="J39" s="24" t="inlineStr">
        <is>
          <t>Trung bình 3 seed.</t>
        </is>
      </c>
    </row>
    <row r="40" ht="15.75" customHeight="1" s="139">
      <c r="A40" s="48" t="inlineStr">
        <is>
          <t>— tham chiếu: LaGoVAD `best.ckpt`</t>
        </is>
      </c>
      <c r="B40" s="48" t="inlineStr">
        <is>
          <t>PreVAD</t>
        </is>
      </c>
      <c r="C40" s="48" t="inlineStr">
        <is>
          <t>DoTA</t>
        </is>
      </c>
      <c r="D40" s="49" t="inlineStr">
        <is>
          <t>—</t>
        </is>
      </c>
      <c r="E40" s="50" t="n">
        <v>0.6012019195461271</v>
      </c>
      <c r="F40" s="50" t="n">
        <v>0.3776627752057543</v>
      </c>
      <c r="G40" s="50" t="n">
        <v>0.6157947811487557</v>
      </c>
      <c r="H40" s="50" t="n">
        <v>0.626</v>
      </c>
      <c r="I40" s="50" t="n">
        <v>-0.02479808045387288</v>
      </c>
      <c r="J40" s="48" t="inlineStr">
        <is>
          <t>Mốc C8b.</t>
        </is>
      </c>
    </row>
    <row r="41" ht="15.75" customHeight="1" s="139">
      <c r="A41" s="48" t="inlineStr">
        <is>
          <t>— tham chiếu: số trong bài báo</t>
        </is>
      </c>
      <c r="B41" s="48" t="inlineStr">
        <is>
          <t>—</t>
        </is>
      </c>
      <c r="C41" s="48" t="inlineStr">
        <is>
          <t>DoTA</t>
        </is>
      </c>
      <c r="D41" s="49" t="inlineStr">
        <is>
          <t>—</t>
        </is>
      </c>
      <c r="E41" s="50" t="n">
        <v>0.626</v>
      </c>
      <c r="F41" s="49" t="n"/>
      <c r="G41" s="49" t="n"/>
      <c r="H41" s="50" t="n">
        <v>0.626</v>
      </c>
      <c r="I41" s="49" t="n"/>
      <c r="J41" s="48" t="inlineStr">
        <is>
          <t>LaGoVAD công bố 62.60.</t>
        </is>
      </c>
    </row>
    <row r="42" ht="15.75" customHeight="1" s="139">
      <c r="A42" s="2" t="n"/>
      <c r="B42" s="2" t="n"/>
      <c r="C42" s="2" t="n"/>
      <c r="D42" s="2" t="n"/>
      <c r="E42" s="2" t="n"/>
      <c r="F42" s="2" t="n"/>
      <c r="G42" s="2" t="n"/>
      <c r="H42" s="2" t="n"/>
      <c r="I42" s="2" t="n"/>
      <c r="J42" s="2" t="n"/>
    </row>
    <row r="43" ht="15.75" customHeight="1" s="139">
      <c r="A43" s="13" t="inlineStr">
        <is>
          <t>2.3 A/B của KIP trên MSAD — Δ = (KIP-on − KIP-off), ghép cặp theo seed, n = 3</t>
        </is>
      </c>
      <c r="B43" s="2" t="n"/>
      <c r="C43" s="2" t="n"/>
      <c r="D43" s="2" t="n"/>
      <c r="E43" s="2" t="n"/>
      <c r="F43" s="2" t="n"/>
      <c r="G43" s="2" t="n"/>
      <c r="H43" s="2" t="n"/>
      <c r="I43" s="2" t="n"/>
      <c r="J43" s="2" t="n"/>
    </row>
    <row r="44" ht="15.75" customHeight="1" s="139">
      <c r="A44" s="12" t="inlineStr">
        <is>
          <t>Đối chứng</t>
        </is>
      </c>
      <c r="B44" s="12" t="inlineStr">
        <is>
          <t>Đánh giá trên</t>
        </is>
      </c>
      <c r="C44" s="12" t="inlineStr">
        <is>
          <t>Chỉ số</t>
        </is>
      </c>
      <c r="D44" s="12" t="inlineStr">
        <is>
          <t>Δ</t>
        </is>
      </c>
      <c r="E44" s="12" t="inlineStr">
        <is>
          <t>t95 dưới</t>
        </is>
      </c>
      <c r="F44" s="12" t="inlineStr">
        <is>
          <t>t95 trên</t>
        </is>
      </c>
      <c r="G44" s="12" t="inlineStr">
        <is>
          <t>Dấu 3 seed</t>
        </is>
      </c>
      <c r="H44" s="12" t="n"/>
      <c r="I44" s="12" t="n"/>
      <c r="J44" s="12" t="inlineStr">
        <is>
          <t>Kết luận</t>
        </is>
      </c>
    </row>
    <row r="45" ht="15.75" customHeight="1" s="139">
      <c r="A45" s="24" t="inlineStr">
        <is>
          <t>KIP-on − KIP-off</t>
        </is>
      </c>
      <c r="B45" s="24" t="inlineStr">
        <is>
          <t>MSAD</t>
        </is>
      </c>
      <c r="C45" s="24" t="inlineStr">
        <is>
          <t>micro AUC</t>
        </is>
      </c>
      <c r="D45" s="60" t="n">
        <v>-0.001901766378326212</v>
      </c>
      <c r="E45" s="60" t="n">
        <v>-0.009599071573316709</v>
      </c>
      <c r="F45" s="60" t="n">
        <v>0.005795538816664284</v>
      </c>
      <c r="G45" s="27" t="inlineStr">
        <is>
          <t>− + −</t>
        </is>
      </c>
      <c r="H45" s="24" t="n"/>
      <c r="I45" s="24" t="n"/>
      <c r="J45" s="24" t="inlineStr">
        <is>
          <t>KHÔNG kết luận được — khoảng tin cậy chứa 0.</t>
        </is>
      </c>
    </row>
    <row r="46" ht="15.75" customHeight="1" s="139">
      <c r="A46" s="24" t="inlineStr">
        <is>
          <t>KIP-on − KIP-off</t>
        </is>
      </c>
      <c r="B46" s="24" t="inlineStr">
        <is>
          <t>MSAD</t>
        </is>
      </c>
      <c r="C46" s="24" t="inlineStr">
        <is>
          <t>macro AUC</t>
        </is>
      </c>
      <c r="D46" s="60" t="n">
        <v>0.02144704420984149</v>
      </c>
      <c r="E46" s="60" t="n">
        <v>-0.03679306257610246</v>
      </c>
      <c r="F46" s="60" t="n">
        <v>0.07968715099578544</v>
      </c>
      <c r="G46" s="27" t="inlineStr">
        <is>
          <t>− + +</t>
        </is>
      </c>
      <c r="H46" s="24" t="n"/>
      <c r="I46" s="24" t="n"/>
      <c r="J46" s="24" t="inlineStr">
        <is>
          <t>KHÔNG kết luận được — khoảng tin cậy chứa 0.</t>
        </is>
      </c>
    </row>
    <row r="47" ht="15.75" customHeight="1" s="139">
      <c r="A47" s="16" t="inlineStr">
        <is>
          <t>KIP-on − KIP-off</t>
        </is>
      </c>
      <c r="B47" s="16" t="inlineStr">
        <is>
          <t>DoTA</t>
        </is>
      </c>
      <c r="C47" s="16" t="inlineStr">
        <is>
          <t>micro AUC</t>
        </is>
      </c>
      <c r="D47" s="20" t="n">
        <v>0.09163048838717558</v>
      </c>
      <c r="E47" s="20" t="n">
        <v>0.06993758572797774</v>
      </c>
      <c r="F47" s="20" t="n">
        <v>0.1133233910463734</v>
      </c>
      <c r="G47" s="22" t="inlineStr">
        <is>
          <t>+ + +</t>
        </is>
      </c>
      <c r="H47" s="16" t="n"/>
      <c r="I47" s="16" t="n"/>
      <c r="J47" s="16" t="inlineStr">
        <is>
          <t>HIỆU ỨNG THẬT về mặt thống kê, NHƯNG đã được quy trách nhiệm và KHÔNG phải chuyển động: arm A2 (dịch kênh cố định 50 %, không flow, không đầu PMG, không loss KIP) không phân biệt được với KIP đầy đủ. Đóng góp đo được của KIP là LÀM TRƠN THỜI GIAN.</t>
        </is>
      </c>
    </row>
    <row r="48" ht="15.75" customHeight="1" s="139">
      <c r="A48" s="16" t="inlineStr">
        <is>
          <t>KIP-on − KIP-off</t>
        </is>
      </c>
      <c r="B48" s="16" t="inlineStr">
        <is>
          <t>DoTA</t>
        </is>
      </c>
      <c r="C48" s="16" t="inlineStr">
        <is>
          <t>macro AUC</t>
        </is>
      </c>
      <c r="D48" s="20" t="n">
        <v>0.1075656439027323</v>
      </c>
      <c r="E48" s="20" t="n">
        <v>0.0950818427773335</v>
      </c>
      <c r="F48" s="20" t="n">
        <v>0.120049445028131</v>
      </c>
      <c r="G48" s="22" t="inlineStr">
        <is>
          <t>+ + +</t>
        </is>
      </c>
      <c r="H48" s="16" t="n"/>
      <c r="I48" s="16" t="n"/>
      <c r="J48" s="16" t="inlineStr">
        <is>
          <t>HIỆU ỨNG THẬT về mặt thống kê, NHƯNG đã được quy trách nhiệm và KHÔNG phải chuyển động: arm A2 (dịch kênh cố định 50 %, không flow, không đầu PMG, không loss KIP) không phân biệt được với KIP đầy đủ. Đóng góp đo được của KIP là LÀM TRƠN THỜI GIAN.</t>
        </is>
      </c>
    </row>
    <row r="49" ht="15.75" customHeight="1" s="139">
      <c r="A49" s="24" t="inlineStr">
        <is>
          <t>KIP-on − KIP-off (PreVAD-trunk)</t>
        </is>
      </c>
      <c r="B49" s="24" t="inlineStr">
        <is>
          <t>MSAD</t>
        </is>
      </c>
      <c r="C49" s="24" t="inlineStr">
        <is>
          <t>micro AUC</t>
        </is>
      </c>
      <c r="D49" s="60" t="n">
        <v>-0.003125281604241303</v>
      </c>
      <c r="E49" s="60" t="n">
        <v>-0.006614119834632995</v>
      </c>
      <c r="F49" s="60" t="n">
        <v>0.0003635566261503873</v>
      </c>
      <c r="G49" s="27" t="inlineStr">
        <is>
          <t>− − −</t>
        </is>
      </c>
      <c r="H49" s="24" t="n"/>
      <c r="I49" s="24" t="n"/>
      <c r="J49" s="24" t="inlineStr">
        <is>
          <t>KHÔNG kết luận được — khoảng tin cậy chứa 0.</t>
        </is>
      </c>
    </row>
    <row r="50" ht="15.75" customHeight="1" s="139">
      <c r="A50" s="24" t="inlineStr">
        <is>
          <t>KIP-on − KIP-off (PreVAD-trunk)</t>
        </is>
      </c>
      <c r="B50" s="24" t="inlineStr">
        <is>
          <t>DoTA</t>
        </is>
      </c>
      <c r="C50" s="24" t="inlineStr">
        <is>
          <t>micro AUC</t>
        </is>
      </c>
      <c r="D50" s="60" t="n">
        <v>-0.002424512585922874</v>
      </c>
      <c r="E50" s="60" t="n">
        <v>-0.04202647967593959</v>
      </c>
      <c r="F50" s="60" t="n">
        <v>0.03717745450409383</v>
      </c>
      <c r="G50" s="27" t="inlineStr">
        <is>
          <t>− + +</t>
        </is>
      </c>
      <c r="H50" s="24" t="n"/>
      <c r="I50" s="24" t="n"/>
      <c r="J50" s="24" t="inlineStr">
        <is>
          <t>KHÔNG kết luận được — khoảng tin cậy chứa 0.</t>
        </is>
      </c>
    </row>
    <row r="51" ht="15.75" customHeight="1" s="139">
      <c r="A51" s="2" t="n"/>
      <c r="B51" s="2" t="n"/>
      <c r="C51" s="2" t="n"/>
      <c r="D51" s="2" t="n"/>
      <c r="E51" s="2" t="n"/>
      <c r="F51" s="2" t="n"/>
      <c r="G51" s="2" t="n"/>
      <c r="H51" s="2" t="n"/>
      <c r="I51" s="2" t="n"/>
      <c r="J51" s="2" t="n"/>
    </row>
    <row r="52" ht="15.75" customHeight="1" s="139">
      <c r="A52" s="8" t="inlineStr">
        <is>
          <t>3. Thí nghiệm train trên TAD và eval trên DoTA</t>
        </is>
      </c>
      <c r="B52" s="8" t="n"/>
      <c r="C52" s="8" t="n"/>
      <c r="D52" s="8" t="n"/>
      <c r="E52" s="8" t="n"/>
      <c r="F52" s="8" t="n"/>
      <c r="G52" s="8" t="n"/>
      <c r="H52" s="8" t="n"/>
      <c r="I52" s="8" t="n"/>
      <c r="J52" s="8" t="n"/>
    </row>
    <row r="53" ht="15.75" customHeight="1" s="139">
      <c r="A53" s="43" t="n"/>
    </row>
    <row r="54" ht="15.75" customHeight="1" s="139">
      <c r="A54" s="12" t="inlineStr">
        <is>
          <t>Arm</t>
        </is>
      </c>
      <c r="B54" s="12" t="inlineStr">
        <is>
          <t>Thay đổi so với m0</t>
        </is>
      </c>
      <c r="C54" s="12" t="inlineStr">
        <is>
          <t>Đánh giá trên</t>
        </is>
      </c>
      <c r="D54" s="12" t="inlineStr">
        <is>
          <t>Bước</t>
        </is>
      </c>
      <c r="E54" s="12" t="inlineStr">
        <is>
          <t>micro AUC</t>
        </is>
      </c>
      <c r="F54" s="12" t="inlineStr">
        <is>
          <t>AP</t>
        </is>
      </c>
      <c r="G54" s="12" t="inlineStr">
        <is>
          <t>macro AUC</t>
        </is>
      </c>
      <c r="H54" s="12" t="inlineStr">
        <is>
          <t>Mốc (Gate T0)</t>
        </is>
      </c>
      <c r="I54" s="12" t="inlineStr">
        <is>
          <t>Chênh macro vs T0</t>
        </is>
      </c>
      <c r="J54" s="12" t="inlineStr">
        <is>
          <t>Ghi chú</t>
        </is>
      </c>
    </row>
    <row r="55" ht="15.75" customHeight="1" s="139">
      <c r="A55" s="48" t="inlineStr">
        <is>
          <t>Dùng checkpoint của LagoVAD</t>
        </is>
      </c>
      <c r="B55" s="48" t="inlineStr">
        <is>
          <t>Zero-shot từ checkpoint của lagoVAD</t>
        </is>
      </c>
      <c r="C55" s="48" t="inlineStr">
        <is>
          <t>TAD</t>
        </is>
      </c>
      <c r="D55" s="49" t="inlineStr">
        <is>
          <t>—</t>
        </is>
      </c>
      <c r="E55" s="50" t="n">
        <v>0.7912276720351391</v>
      </c>
      <c r="F55" s="50" t="n">
        <v>0.2570523517306796</v>
      </c>
      <c r="G55" s="50" t="n">
        <v>0.7578264834388191</v>
      </c>
      <c r="H55" s="49" t="n"/>
      <c r="I55" s="49" t="n"/>
      <c r="J55" s="48" t="inlineStr">
        <is>
          <t>Mốc tham chiếu duy nhất của TAD. Đứng giữa thước đo độ dài (0.8968) và clip oracle (0.9226) → micro trên TAD là phân loại clip. TUYỆT ĐỐI không đặt cạnh số frame-level đã công bố.</t>
        </is>
      </c>
    </row>
    <row r="56" ht="15.75" customHeight="1" s="139">
      <c r="A56" s="31" t="inlineStr">
        <is>
          <t>m0</t>
        </is>
      </c>
      <c r="B56" s="31" t="inlineStr">
        <is>
          <t>—</t>
        </is>
      </c>
      <c r="C56" s="31" t="inlineStr">
        <is>
          <t>TAD</t>
        </is>
      </c>
      <c r="D56" s="36" t="inlineStr">
        <is>
          <t>504</t>
        </is>
      </c>
      <c r="E56" s="34" t="n">
        <v>0.9236873474865789</v>
      </c>
      <c r="F56" s="34" t="n">
        <v>0.3422481696902756</v>
      </c>
      <c r="G56" s="34" t="n">
        <v>0.617413163681546</v>
      </c>
      <c r="H56" s="34" t="n">
        <v>0.7578264834388191</v>
      </c>
      <c r="I56" s="34" t="n">
        <v>-0.1404133197572731</v>
      </c>
      <c r="J56" s="31" t="inlineStr">
        <is>
          <t>SỤP ĐỔ: micro vọt lên 0.9237 ≈ đúng oracle 0.9226 (AUC mức clip đạt 0.9975) trong khi macro TỤT 0.7578 → 0.6174. Mô hình biến thành bộ phân loại clip. Huấn luyện in-domain PHÁ HỦY 0.104 macro mà nó được trao.</t>
        </is>
      </c>
    </row>
    <row r="57" ht="15.75" customHeight="1" s="139">
      <c r="A57" s="16" t="inlineStr">
        <is>
          <t>t2_warm</t>
        </is>
      </c>
      <c r="B57" s="16" t="inlineStr">
        <is>
          <t>warm-up từ trunk PreVAD</t>
        </is>
      </c>
      <c r="C57" s="16" t="inlineStr">
        <is>
          <t>TAD</t>
        </is>
      </c>
      <c r="D57" s="22" t="inlineStr">
        <is>
          <t>504</t>
        </is>
      </c>
      <c r="E57" s="20" t="n">
        <v>0.9245245851634943</v>
      </c>
      <c r="F57" s="20" t="n">
        <v>0.348502699868886</v>
      </c>
      <c r="G57" s="20" t="n">
        <v>0.6540209126132417</v>
      </c>
      <c r="H57" s="20" t="n">
        <v>0.7578264834388191</v>
      </c>
      <c r="I57" s="20" t="n">
        <v>-0.1038055708255774</v>
      </c>
      <c r="J57" s="16" t="inlineStr">
        <is>
          <t>Arm DUY NHẤT đẩy cả bốn cột đúng hướng (macro 0.6540, d = +0.5482, DoTA macro 0.5887 — lấp 26/27/59 % khoảng cách) và VẪN trượt mốc. Đây là thứ mua được tuyên bố mạnh ở dòng m0.</t>
        </is>
      </c>
    </row>
    <row r="58" ht="15.75" customHeight="1" s="139">
      <c r="A58" s="2" t="n"/>
      <c r="B58" s="2" t="n"/>
      <c r="C58" s="2" t="n"/>
      <c r="D58" s="2" t="n"/>
      <c r="E58" s="2" t="n"/>
      <c r="F58" s="2" t="n"/>
      <c r="G58" s="2" t="n"/>
      <c r="H58" s="2" t="n"/>
      <c r="I58" s="2" t="n"/>
      <c r="J58" s="2" t="n"/>
    </row>
    <row r="59" ht="15.75" customHeight="1" s="139">
      <c r="A59" s="13" t="inlineStr">
        <is>
          <t>3.1 Chuyển giao zero-shot sang DoTA của chính các checkpoint TAD ở trên</t>
        </is>
      </c>
      <c r="B59" s="2" t="n"/>
      <c r="C59" s="2" t="n"/>
      <c r="D59" s="2" t="n"/>
      <c r="E59" s="2" t="n"/>
      <c r="F59" s="2" t="n"/>
      <c r="G59" s="2" t="n"/>
      <c r="H59" s="2" t="n"/>
      <c r="I59" s="2" t="n"/>
      <c r="J59" s="2" t="n"/>
    </row>
    <row r="60" ht="15.75" customHeight="1" s="139">
      <c r="A60" s="12" t="inlineStr">
        <is>
          <t>Arm</t>
        </is>
      </c>
      <c r="B60" s="12" t="inlineStr">
        <is>
          <t>Huấn luyện trên</t>
        </is>
      </c>
      <c r="C60" s="12" t="inlineStr">
        <is>
          <t>Đánh giá trên</t>
        </is>
      </c>
      <c r="D60" s="12" t="inlineStr">
        <is>
          <t>Bước</t>
        </is>
      </c>
      <c r="E60" s="12" t="inlineStr">
        <is>
          <t>micro AUC</t>
        </is>
      </c>
      <c r="F60" s="12" t="inlineStr">
        <is>
          <t>AP</t>
        </is>
      </c>
      <c r="G60" s="12" t="inlineStr">
        <is>
          <t>macro AUC</t>
        </is>
      </c>
      <c r="H60" s="12" t="inlineStr">
        <is>
          <t>Bài báo (LaGoVAD)</t>
        </is>
      </c>
      <c r="I60" s="12" t="inlineStr">
        <is>
          <t>Chênh vs bài báo</t>
        </is>
      </c>
      <c r="J60" s="12" t="inlineStr">
        <is>
          <t>Ghi chú</t>
        </is>
      </c>
    </row>
    <row r="61" ht="15.75" customHeight="1" s="139">
      <c r="A61" s="24" t="inlineStr">
        <is>
          <t>m0</t>
        </is>
      </c>
      <c r="B61" s="24" t="inlineStr">
        <is>
          <t>TAD</t>
        </is>
      </c>
      <c r="C61" s="24" t="inlineStr">
        <is>
          <t>DoTA</t>
        </is>
      </c>
      <c r="D61" s="27" t="inlineStr">
        <is>
          <t>504</t>
        </is>
      </c>
      <c r="E61" s="60" t="n">
        <v>0.5453203063613512</v>
      </c>
      <c r="F61" s="60" t="n">
        <v>0.341131482648341</v>
      </c>
      <c r="G61" s="60" t="n">
        <v>0.5495574102645185</v>
      </c>
      <c r="H61" s="60" t="n">
        <v>0.626</v>
      </c>
      <c r="I61" s="60" t="n">
        <v>-0.0806796936386488</v>
      </c>
      <c r="J61" s="24" t="inlineStr">
        <is>
          <t>Chuyển giao tụt từ 0.6158 (Gate T0) xuống 0.5496 ở m0 — cùng chiều với việc macro bị phá hủy.</t>
        </is>
      </c>
    </row>
    <row r="62" ht="15.75" customHeight="1" s="139">
      <c r="A62" s="16" t="inlineStr">
        <is>
          <t>t2_warm</t>
        </is>
      </c>
      <c r="B62" s="16" t="inlineStr">
        <is>
          <t>TAD</t>
        </is>
      </c>
      <c r="C62" s="16" t="inlineStr">
        <is>
          <t>DoTA</t>
        </is>
      </c>
      <c r="D62" s="22" t="inlineStr">
        <is>
          <t>504</t>
        </is>
      </c>
      <c r="E62" s="20" t="n">
        <v>0.5759154538964681</v>
      </c>
      <c r="F62" s="20" t="n">
        <v>0.3589278612772674</v>
      </c>
      <c r="G62" s="20" t="n">
        <v>0.5887204990518889</v>
      </c>
      <c r="H62" s="20" t="n">
        <v>0.626</v>
      </c>
      <c r="I62" s="20" t="n">
        <v>-0.05008454610353186</v>
      </c>
      <c r="J62" s="16" t="n"/>
    </row>
    <row r="63" ht="15.75" customHeight="1" s="139">
      <c r="A63" s="2" t="n"/>
      <c r="B63" s="2" t="n"/>
      <c r="C63" s="2" t="n"/>
      <c r="D63" s="2" t="n"/>
      <c r="E63" s="2" t="n"/>
      <c r="F63" s="2" t="n"/>
      <c r="G63" s="2" t="n"/>
      <c r="H63" s="2" t="n"/>
      <c r="I63" s="2" t="n"/>
      <c r="J63" s="2" t="n"/>
    </row>
    <row r="64" ht="15.75" customHeight="1" s="139">
      <c r="A64" s="2" t="n"/>
      <c r="B64" s="2" t="n"/>
      <c r="C64" s="2" t="n"/>
      <c r="D64" s="2" t="n"/>
      <c r="E64" s="2" t="n"/>
      <c r="F64" s="2" t="n"/>
      <c r="G64" s="2" t="n"/>
      <c r="H64" s="2" t="n"/>
      <c r="I64" s="2" t="n"/>
      <c r="J64" s="2" t="n"/>
    </row>
    <row r="65" ht="15.75" customHeight="1" s="139">
      <c r="A65" s="8" t="inlineStr">
        <is>
          <t>5. DADA-2000 BẢN GỐC — CORPUS W=20 skip 8 frames</t>
        </is>
      </c>
      <c r="B65" s="8" t="n"/>
      <c r="C65" s="8" t="n"/>
      <c r="D65" s="8" t="n"/>
      <c r="E65" s="8" t="n"/>
      <c r="F65" s="8" t="n"/>
      <c r="G65" s="8" t="n"/>
      <c r="H65" s="8" t="n"/>
      <c r="I65" s="8" t="n"/>
      <c r="J65" s="8" t="n"/>
    </row>
    <row r="66" ht="15.75" customHeight="1" s="139">
      <c r="A66" s="43" t="inlineStr">
        <is>
          <t>Corpus: window dài 20 hop 8, 4,401 window huấn luyện / 1,106 window test (798 window 2 lớp cho macro), kernel 3, MIL top-k 5 %, 20 epoch = 2,040 bước, 3 seed [2024, 2025, 2026]</t>
        </is>
      </c>
    </row>
    <row r="67" ht="15.75" customHeight="1" s="139">
      <c r="A67" s="13" t="inlineStr">
        <is>
          <t>5.1 Kết quả từng seed và trung bình — DADA2000 + DoTA zero-shot</t>
        </is>
      </c>
      <c r="B67" s="2" t="n"/>
      <c r="C67" s="2" t="n"/>
      <c r="D67" s="2" t="n"/>
      <c r="E67" s="2" t="n"/>
      <c r="F67" s="2" t="n"/>
      <c r="G67" s="2" t="n"/>
      <c r="H67" s="2" t="n"/>
      <c r="I67" s="2" t="n"/>
      <c r="J67" s="2" t="n"/>
    </row>
    <row r="68" ht="15.75" customHeight="1" s="139">
      <c r="A68" s="12" t="inlineStr">
        <is>
          <t>Arm</t>
        </is>
      </c>
      <c r="B68" s="12" t="inlineStr">
        <is>
          <t>Seed</t>
        </is>
      </c>
      <c r="C68" s="12" t="inlineStr">
        <is>
          <t>Đánh giá trên</t>
        </is>
      </c>
      <c r="D68" s="12" t="inlineStr">
        <is>
          <t>Step</t>
        </is>
      </c>
      <c r="E68" s="12" t="inlineStr">
        <is>
          <t>micro AUC</t>
        </is>
      </c>
      <c r="F68" s="12" t="inlineStr">
        <is>
          <t>AP</t>
        </is>
      </c>
      <c r="G68" s="12" t="inlineStr">
        <is>
          <t>macro AUC</t>
        </is>
      </c>
      <c r="H68" s="12" t="inlineStr">
        <is>
          <t>Mốc phải vượt</t>
        </is>
      </c>
      <c r="I68" s="12" t="inlineStr">
        <is>
          <t>Chênh vs mốc</t>
        </is>
      </c>
      <c r="J68" s="12" t="inlineStr">
        <is>
          <t>Ghi chú</t>
        </is>
      </c>
    </row>
    <row r="69" ht="15.75" customHeight="1" s="139">
      <c r="A69" s="24" t="inlineStr">
        <is>
          <t>KIP-off</t>
        </is>
      </c>
      <c r="B69" s="24" t="n">
        <v>2024</v>
      </c>
      <c r="C69" s="24" t="inlineStr">
        <is>
          <t>DADA2000 (test set)</t>
        </is>
      </c>
      <c r="D69" s="27" t="inlineStr">
        <is>
          <t>2,040</t>
        </is>
      </c>
      <c r="E69" s="60" t="n">
        <v>0.6230302243992729</v>
      </c>
      <c r="F69" s="60" t="n">
        <v>0.4764173800560108</v>
      </c>
      <c r="G69" s="60" t="n">
        <v>0.6334098625839369</v>
      </c>
      <c r="H69" s="60" t="n">
        <v>0.7037</v>
      </c>
      <c r="I69" s="60" t="n">
        <v>-0.08066977560072708</v>
      </c>
      <c r="J69" s="24" t="inlineStr">
        <is>
          <t>Mốc ở cột này là CLIP ORACLE 0.7037: micro nằm DƯỚI nó nghĩa là mô hình không chỉ đang xếp hạng window.</t>
        </is>
      </c>
    </row>
    <row r="70" ht="15.75" customHeight="1" s="139">
      <c r="A70" s="24" t="inlineStr">
        <is>
          <t>KIP-off</t>
        </is>
      </c>
      <c r="B70" s="24" t="n">
        <v>2025</v>
      </c>
      <c r="C70" s="24" t="inlineStr">
        <is>
          <t>DADA2000 (test set)</t>
        </is>
      </c>
      <c r="D70" s="27" t="inlineStr">
        <is>
          <t>2,040</t>
        </is>
      </c>
      <c r="E70" s="60" t="n">
        <v>0.6163772247274282</v>
      </c>
      <c r="F70" s="60" t="n">
        <v>0.4747093404349266</v>
      </c>
      <c r="G70" s="60" t="n">
        <v>0.6351581481718938</v>
      </c>
      <c r="H70" s="60" t="n">
        <v>0.7037</v>
      </c>
      <c r="I70" s="60" t="n">
        <v>-0.08732277527257182</v>
      </c>
      <c r="J70" s="24" t="n"/>
    </row>
    <row r="71" ht="15.75" customHeight="1" s="139">
      <c r="A71" s="24" t="inlineStr">
        <is>
          <t>KIP-off</t>
        </is>
      </c>
      <c r="B71" s="24" t="n">
        <v>2026</v>
      </c>
      <c r="C71" s="24" t="inlineStr">
        <is>
          <t>DADA2000 (test set)</t>
        </is>
      </c>
      <c r="D71" s="27" t="inlineStr">
        <is>
          <t>2,040</t>
        </is>
      </c>
      <c r="E71" s="60" t="n">
        <v>0.6152462593975954</v>
      </c>
      <c r="F71" s="60" t="n">
        <v>0.4533055328933253</v>
      </c>
      <c r="G71" s="60" t="n">
        <v>0.6056965986262889</v>
      </c>
      <c r="H71" s="60" t="n">
        <v>0.7037</v>
      </c>
      <c r="I71" s="60" t="n">
        <v>-0.08845374060240463</v>
      </c>
      <c r="J71" s="24" t="n"/>
    </row>
    <row r="72" ht="15.75" customHeight="1" s="139">
      <c r="A72" s="92" t="inlineStr">
        <is>
          <t>KIP-off — TRUNG BÌNH 3 seed</t>
        </is>
      </c>
      <c r="B72" s="92" t="inlineStr">
        <is>
          <t>—</t>
        </is>
      </c>
      <c r="C72" s="92" t="inlineStr">
        <is>
          <t>DADA2000 (test set)</t>
        </is>
      </c>
      <c r="D72" s="93" t="inlineStr">
        <is>
          <t>2,040</t>
        </is>
      </c>
      <c r="E72" s="94" t="n">
        <v>0.6182179028414322</v>
      </c>
      <c r="F72" s="94" t="n">
        <v>0.4681440844614209</v>
      </c>
      <c r="G72" s="94" t="n">
        <v>0.6247548697940398</v>
      </c>
      <c r="H72" s="94" t="n">
        <v>0.5983000000000001</v>
      </c>
      <c r="I72" s="94" t="n">
        <v>0.02645486979403977</v>
      </c>
      <c r="J72" s="92" t="inlineStr">
        <is>
          <t>So với FRAME LINEAR PROBE 0.5983 (trần của đặc trưng). KIP-off macro 0.6248 VƯỢT probe, và macro ≥ micro → SỰ SỤP ĐỔ KIỂU TAD (C14) KHÔNG TÁI DIỄN. Đây là corpus ĐẦU TIÊN của đề tài mà huấn luyện in-domain không phá hủy định vị.</t>
        </is>
      </c>
    </row>
    <row r="73" ht="15.75" customHeight="1" s="139">
      <c r="A73" s="96" t="inlineStr">
        <is>
          <t>KIP-on</t>
        </is>
      </c>
      <c r="B73" s="97" t="n">
        <v>2024</v>
      </c>
      <c r="C73" s="96" t="inlineStr">
        <is>
          <t>DADA2000 (test set)</t>
        </is>
      </c>
      <c r="D73" s="98" t="inlineStr">
        <is>
          <t>2,040</t>
        </is>
      </c>
      <c r="E73" s="99" t="n">
        <v>0.6295365220324984</v>
      </c>
      <c r="F73" s="99" t="n">
        <v>0.4844494409133084</v>
      </c>
      <c r="G73" s="99" t="n">
        <v>0.6287658030599192</v>
      </c>
      <c r="H73" s="99" t="n">
        <v>0.7037</v>
      </c>
      <c r="I73" s="99" t="n">
        <v>-0.07416347796750156</v>
      </c>
      <c r="J73" s="96" t="inlineStr">
        <is>
          <t>Phase 5 (Option A): flow target chuẩn hoá z-score, lambda_rec = 1/V = 0.9953. Mốc ở cột này là CLIP ORACLE 0.7037.</t>
        </is>
      </c>
      <c r="K73" s="100" t="n"/>
      <c r="L73" s="100" t="n"/>
      <c r="M73" s="100" t="n"/>
      <c r="N73" s="100" t="n"/>
      <c r="O73" s="100" t="n"/>
      <c r="P73" s="100" t="n"/>
      <c r="Q73" s="100" t="n"/>
      <c r="R73" s="100" t="n"/>
      <c r="S73" s="100" t="n"/>
      <c r="T73" s="100" t="n"/>
      <c r="U73" s="100" t="n"/>
      <c r="V73" s="100" t="n"/>
      <c r="W73" s="100" t="n"/>
      <c r="X73" s="100" t="n"/>
      <c r="Y73" s="100" t="n"/>
      <c r="Z73" s="100" t="n"/>
    </row>
    <row r="74" ht="15.75" customHeight="1" s="139">
      <c r="A74" s="96" t="inlineStr">
        <is>
          <t>KIP-on</t>
        </is>
      </c>
      <c r="B74" s="97" t="n">
        <v>2025</v>
      </c>
      <c r="C74" s="96" t="inlineStr">
        <is>
          <t>DADA2000 (test set)</t>
        </is>
      </c>
      <c r="D74" s="98" t="inlineStr">
        <is>
          <t>2,040</t>
        </is>
      </c>
      <c r="E74" s="99" t="n">
        <v>0.6274954141210045</v>
      </c>
      <c r="F74" s="99" t="n">
        <v>0.4862991687552388</v>
      </c>
      <c r="G74" s="99" t="n">
        <v>0.6308373520811251</v>
      </c>
      <c r="H74" s="99" t="n">
        <v>0.7037</v>
      </c>
      <c r="I74" s="99" t="n">
        <v>-0.07620458587899548</v>
      </c>
      <c r="J74" s="101" t="n"/>
      <c r="K74" s="100" t="n"/>
      <c r="L74" s="100" t="n"/>
      <c r="M74" s="100" t="n"/>
      <c r="N74" s="100" t="n"/>
      <c r="O74" s="100" t="n"/>
      <c r="P74" s="100" t="n"/>
      <c r="Q74" s="100" t="n"/>
      <c r="R74" s="100" t="n"/>
      <c r="S74" s="100" t="n"/>
      <c r="T74" s="100" t="n"/>
      <c r="U74" s="100" t="n"/>
      <c r="V74" s="100" t="n"/>
      <c r="W74" s="100" t="n"/>
      <c r="X74" s="100" t="n"/>
      <c r="Y74" s="100" t="n"/>
      <c r="Z74" s="100" t="n"/>
    </row>
    <row r="75" ht="15.75" customHeight="1" s="139">
      <c r="A75" s="96" t="inlineStr">
        <is>
          <t>KIP-on</t>
        </is>
      </c>
      <c r="B75" s="97" t="n">
        <v>2026</v>
      </c>
      <c r="C75" s="96" t="inlineStr">
        <is>
          <t>DADA2000 (test set)</t>
        </is>
      </c>
      <c r="D75" s="98" t="inlineStr">
        <is>
          <t>2,040</t>
        </is>
      </c>
      <c r="E75" s="99" t="n">
        <v>0.6203579428345987</v>
      </c>
      <c r="F75" s="99" t="n">
        <v>0.4743910213185412</v>
      </c>
      <c r="G75" s="99" t="n">
        <v>0.6319896669952465</v>
      </c>
      <c r="H75" s="99" t="n">
        <v>0.7037</v>
      </c>
      <c r="I75" s="99" t="n">
        <v>-0.08334205716540133</v>
      </c>
      <c r="J75" s="101" t="n"/>
      <c r="K75" s="100" t="n"/>
      <c r="L75" s="100" t="n"/>
      <c r="M75" s="100" t="n"/>
      <c r="N75" s="100" t="n"/>
      <c r="O75" s="100" t="n"/>
      <c r="P75" s="100" t="n"/>
      <c r="Q75" s="100" t="n"/>
      <c r="R75" s="100" t="n"/>
      <c r="S75" s="100" t="n"/>
      <c r="T75" s="100" t="n"/>
      <c r="U75" s="100" t="n"/>
      <c r="V75" s="100" t="n"/>
      <c r="W75" s="100" t="n"/>
      <c r="X75" s="100" t="n"/>
      <c r="Y75" s="100" t="n"/>
      <c r="Z75" s="100" t="n"/>
    </row>
    <row r="76" ht="15.75" customHeight="1" s="139">
      <c r="A76" s="102" t="inlineStr">
        <is>
          <t>KIP-on (TRUNG BÌNH 3 seed)</t>
        </is>
      </c>
      <c r="B76" s="102" t="inlineStr">
        <is>
          <t>—</t>
        </is>
      </c>
      <c r="C76" s="102" t="inlineStr">
        <is>
          <t>DADA2000 (test set)</t>
        </is>
      </c>
      <c r="D76" s="103" t="inlineStr">
        <is>
          <t>2,040</t>
        </is>
      </c>
      <c r="E76" s="104" t="n">
        <v>0.6257966263293672</v>
      </c>
      <c r="F76" s="104" t="n">
        <v>0.4817132103290295</v>
      </c>
      <c r="G76" s="104" t="n">
        <v>0.6305309407120969</v>
      </c>
      <c r="H76" s="104" t="n">
        <v>0.5983000000000001</v>
      </c>
      <c r="I76" s="104" t="n">
        <v>0.03223094071209687</v>
      </c>
      <c r="J76" s="102" t="inlineStr">
        <is>
          <t>Cao nhất trong ba arm ở cả micro lẫn macro, và macro ≥ micro vẫn giữ</t>
        </is>
      </c>
      <c r="K76" s="100" t="n"/>
      <c r="L76" s="100" t="n"/>
      <c r="M76" s="100" t="n"/>
      <c r="N76" s="100" t="n"/>
      <c r="O76" s="100" t="n"/>
      <c r="P76" s="100" t="n"/>
      <c r="Q76" s="100" t="n"/>
      <c r="R76" s="100" t="n"/>
      <c r="S76" s="100" t="n"/>
      <c r="T76" s="100" t="n"/>
      <c r="U76" s="100" t="n"/>
      <c r="V76" s="100" t="n"/>
      <c r="W76" s="100" t="n"/>
      <c r="X76" s="100" t="n"/>
      <c r="Y76" s="100" t="n"/>
      <c r="Z76" s="100" t="n"/>
    </row>
    <row r="77" ht="15.75" customHeight="1" s="139">
      <c r="A77" s="105" t="inlineStr">
        <is>
          <t>KIP-off  (TRUNG BÌNH 3 seed)</t>
        </is>
      </c>
      <c r="B77" s="105" t="inlineStr">
        <is>
          <t>—</t>
        </is>
      </c>
      <c r="C77" s="105" t="inlineStr">
        <is>
          <t>DoTA (zero-shot)</t>
        </is>
      </c>
      <c r="D77" s="107" t="inlineStr">
        <is>
          <t>2,040</t>
        </is>
      </c>
      <c r="E77" s="108" t="n">
        <v>0.5855984817005983</v>
      </c>
      <c r="F77" s="108" t="n">
        <v>0.4022815832392279</v>
      </c>
      <c r="G77" s="108" t="n">
        <v>0.6112900301628674</v>
      </c>
      <c r="H77" s="108" t="n">
        <v>0.6408</v>
      </c>
      <c r="I77" s="108" t="n">
        <v>-0.05520151829940179</v>
      </c>
      <c r="J77" s="105" t="inlineStr">
        <is>
          <t>Mốc phải vượt = arm KIP-on huấn luyện trên MSAD (0.6408 micro / 0.6529 macro). CHƯA VƯỢT. Lưu ý: khoảng tin cậy của các dòng DoTA này rộng gấp ~20 lần chính Δ của chúng — KHÔNG TRÍCH DẪN chúng như một kết quả.</t>
        </is>
      </c>
    </row>
    <row r="78" ht="39" customHeight="1" s="139">
      <c r="A78" s="111" t="inlineStr">
        <is>
          <t>KIP-on (TRUNG BÌNH 3 seed)</t>
        </is>
      </c>
      <c r="B78" s="111" t="inlineStr">
        <is>
          <t>—</t>
        </is>
      </c>
      <c r="C78" s="111" t="inlineStr">
        <is>
          <t>DoTA (zero-shot)</t>
        </is>
      </c>
      <c r="D78" s="113" t="inlineStr">
        <is>
          <t>2,040</t>
        </is>
      </c>
      <c r="E78" s="115" t="n">
        <v>0.6077219358159522</v>
      </c>
      <c r="F78" s="115" t="n">
        <v>0.4104989737544414</v>
      </c>
      <c r="G78" s="115" t="n">
        <v>0.6375590555677878</v>
      </c>
      <c r="H78" s="115" t="n">
        <v>0.6408</v>
      </c>
      <c r="I78" s="115" t="n">
        <v>-0.0330780641840478</v>
      </c>
      <c r="J78" s="111" t="inlineStr">
        <is>
          <t>Vẫn CHƯA VƯỢT mốc MSAD KIP-on (0.6408 / 0.6529); macro 0.6376 kém 0.015, nằm trong 1 sd (0.017)</t>
        </is>
      </c>
      <c r="K78" s="100" t="n"/>
      <c r="L78" s="100" t="n"/>
      <c r="M78" s="100" t="n"/>
      <c r="N78" s="100" t="n"/>
      <c r="O78" s="100" t="n"/>
      <c r="P78" s="100" t="n"/>
      <c r="Q78" s="100" t="n"/>
      <c r="R78" s="100" t="n"/>
      <c r="S78" s="100" t="n"/>
      <c r="T78" s="100" t="n"/>
      <c r="U78" s="100" t="n"/>
      <c r="V78" s="100" t="n"/>
      <c r="W78" s="100" t="n"/>
      <c r="X78" s="100" t="n"/>
      <c r="Y78" s="100" t="n"/>
      <c r="Z78" s="100" t="n"/>
    </row>
    <row r="79" ht="15.75" customHeight="1" s="139">
      <c r="A79" s="2" t="n"/>
      <c r="B79" s="2" t="n"/>
      <c r="C79" s="2" t="n"/>
      <c r="D79" s="2" t="n"/>
      <c r="E79" s="2" t="n"/>
      <c r="F79" s="2" t="n"/>
      <c r="G79" s="2" t="n"/>
      <c r="H79" s="2" t="n"/>
      <c r="I79" s="2" t="n"/>
      <c r="J79" s="2" t="n"/>
    </row>
    <row r="80" ht="15.75" customHeight="1" s="139">
      <c r="A80" s="13" t="inlineStr">
        <is>
          <t>5.2 A/B ghép cặp KIP trên DADA2000 — Δ = (KIP-on − KIP-off), n = 3</t>
        </is>
      </c>
      <c r="B80" s="2" t="n"/>
      <c r="C80" s="2" t="n"/>
      <c r="D80" s="2" t="n"/>
      <c r="E80" s="2" t="n"/>
      <c r="F80" s="2" t="n"/>
      <c r="G80" s="2" t="n"/>
      <c r="H80" s="2" t="n"/>
      <c r="I80" s="2" t="n"/>
      <c r="J80" s="2" t="n"/>
    </row>
    <row r="81" ht="15.75" customHeight="1" s="139">
      <c r="A81" s="12" t="inlineStr">
        <is>
          <t>Pair</t>
        </is>
      </c>
      <c r="B81" s="12" t="inlineStr">
        <is>
          <t>Đánh giá trên</t>
        </is>
      </c>
      <c r="C81" s="12" t="inlineStr">
        <is>
          <t>Chỉ số</t>
        </is>
      </c>
      <c r="D81" s="12" t="inlineStr">
        <is>
          <t>Δ</t>
        </is>
      </c>
      <c r="E81" s="12" t="inlineStr">
        <is>
          <t>t95 dưới</t>
        </is>
      </c>
      <c r="F81" s="12" t="inlineStr">
        <is>
          <t>t95 trên</t>
        </is>
      </c>
      <c r="G81" s="12" t="inlineStr">
        <is>
          <t>Dấu 3 seed</t>
        </is>
      </c>
      <c r="H81" s="12" t="n"/>
      <c r="I81" s="12" t="n"/>
      <c r="J81" s="12" t="inlineStr">
        <is>
          <t>Kết luận</t>
        </is>
      </c>
    </row>
    <row r="82" ht="15.75" customHeight="1" s="139">
      <c r="A82" s="96" t="inlineStr">
        <is>
          <t>KIP-on − KIP-off</t>
        </is>
      </c>
      <c r="B82" s="96" t="inlineStr">
        <is>
          <t>DADA2000 (test set - in domain)</t>
        </is>
      </c>
      <c r="C82" s="96" t="inlineStr">
        <is>
          <t>micro AUC</t>
        </is>
      </c>
      <c r="D82" s="99" t="n">
        <v>0.007578723487935053</v>
      </c>
      <c r="E82" s="99" t="n">
        <v>-0.0002303645684575972</v>
      </c>
      <c r="F82" s="99" t="n">
        <v>0.0153878115443277</v>
      </c>
      <c r="G82" s="98" t="inlineStr">
        <is>
          <t>+ + +</t>
        </is>
      </c>
      <c r="H82" s="101" t="n"/>
      <c r="I82" s="101" t="n"/>
      <c r="J82" s="96" t="inlineStr">
        <is>
          <t>Chỉ số CHÍNH đăng ký trước. Khoảng tin cậy chứa 0 (sát mép) → NULL CÓ BIÊN: hiệu ứng in-domain &lt; ~1,5 điểm AUC. KHÔNG thêm seed để đẩy qua 0.</t>
        </is>
      </c>
    </row>
    <row r="83" ht="15.75" customHeight="1" s="139">
      <c r="A83" s="96" t="inlineStr">
        <is>
          <t>KIP-on − KIP-off</t>
        </is>
      </c>
      <c r="B83" s="96" t="inlineStr">
        <is>
          <t>DADA2000 (test set - in domain)</t>
        </is>
      </c>
      <c r="C83" s="96" t="inlineStr">
        <is>
          <t>AP</t>
        </is>
      </c>
      <c r="D83" s="99" t="n">
        <v>0.01356912586760859</v>
      </c>
      <c r="E83" s="99" t="n">
        <v>-0.003193964791120678</v>
      </c>
      <c r="F83" s="99" t="n">
        <v>0.03033221652633786</v>
      </c>
      <c r="G83" s="98" t="inlineStr">
        <is>
          <t>+ + +</t>
        </is>
      </c>
      <c r="H83" s="101" t="n"/>
      <c r="I83" s="101" t="n"/>
      <c r="J83" s="96" t="inlineStr">
        <is>
          <t>Khoảng tin cậy chứa 0 — không kết luận được.</t>
        </is>
      </c>
    </row>
    <row r="84" ht="15.75" customHeight="1" s="139">
      <c r="A84" s="119" t="inlineStr">
        <is>
          <t>KIP-on − KIP-off</t>
        </is>
      </c>
      <c r="B84" s="119" t="inlineStr">
        <is>
          <t>DADA2000 (test set - in domain)</t>
        </is>
      </c>
      <c r="C84" s="119" t="inlineStr">
        <is>
          <t>macro AUC</t>
        </is>
      </c>
      <c r="D84" s="121" t="n">
        <v>0.005776070918057097</v>
      </c>
      <c r="E84" s="121" t="n">
        <v>-0.03836451281553262</v>
      </c>
      <c r="F84" s="121" t="n">
        <v>0.04991665465164682</v>
      </c>
      <c r="G84" s="122" t="inlineStr">
        <is>
          <t>− − +</t>
        </is>
      </c>
      <c r="H84" s="123" t="n"/>
      <c r="I84" s="123" t="n"/>
      <c r="J84" s="119" t="inlineStr">
        <is>
          <t>Khoảng tin cậy chứa 0 — không kết luận được.</t>
        </is>
      </c>
    </row>
    <row r="85" ht="15.75" customHeight="1" s="139">
      <c r="A85" s="96" t="inlineStr">
        <is>
          <t>KIP-on − KIP-off</t>
        </is>
      </c>
      <c r="B85" s="96" t="inlineStr">
        <is>
          <t>DoTA (zero-shot)</t>
        </is>
      </c>
      <c r="C85" s="96" t="inlineStr">
        <is>
          <t>micro AUC</t>
        </is>
      </c>
      <c r="D85" s="99" t="n">
        <v>0.02212345411535403</v>
      </c>
      <c r="E85" s="99" t="n">
        <v>-0.01100677985486721</v>
      </c>
      <c r="F85" s="99" t="n">
        <v>0.05525368808557526</v>
      </c>
      <c r="G85" s="98" t="inlineStr">
        <is>
          <t>+ + +</t>
        </is>
      </c>
      <c r="H85" s="101" t="n"/>
      <c r="I85" s="101" t="n"/>
      <c r="J85" s="96" t="inlineStr">
        <is>
          <t>Khoảng tin cậy chứa 0 — chỉ báo cáo, không dùng để quyết định.</t>
        </is>
      </c>
    </row>
    <row r="86" ht="15.75" customHeight="1" s="139">
      <c r="A86" s="96" t="inlineStr">
        <is>
          <t>KIP-on − KIP-off</t>
        </is>
      </c>
      <c r="B86" s="96" t="inlineStr">
        <is>
          <t>DoTA (zero-shot)</t>
        </is>
      </c>
      <c r="C86" s="96" t="inlineStr">
        <is>
          <t>macro AUC</t>
        </is>
      </c>
      <c r="D86" s="99" t="n">
        <v>0.02626902540492034</v>
      </c>
      <c r="E86" s="99" t="n">
        <v>-0.01887637246716716</v>
      </c>
      <c r="F86" s="99" t="n">
        <v>0.07141442327700784</v>
      </c>
      <c r="G86" s="98" t="inlineStr">
        <is>
          <t>+ + +</t>
        </is>
      </c>
      <c r="H86" s="101" t="n"/>
      <c r="I86" s="101" t="n"/>
      <c r="J86" s="96" t="inlineStr">
        <is>
          <t>Khoảng tin cậy chứa 0 — chỉ báo cáo, không dùng để quyết định.</t>
        </is>
      </c>
    </row>
    <row r="87" ht="15.75" customHeight="1" s="139">
      <c r="A87" s="2" t="n"/>
      <c r="B87" s="2" t="n"/>
      <c r="C87" s="2" t="n"/>
      <c r="D87" s="2" t="n"/>
      <c r="E87" s="2" t="n"/>
      <c r="F87" s="2" t="n"/>
      <c r="G87" s="2" t="n"/>
      <c r="H87" s="2" t="n"/>
      <c r="I87" s="2" t="n"/>
      <c r="J87" s="2" t="n"/>
    </row>
    <row r="88" ht="15.75" customHeight="1" s="139">
      <c r="A88" s="8" t="inlineStr">
        <is>
          <t>6. CẤU HÌNH HUẤN LUYỆN CỦA CÁC ARM CHÍNH</t>
        </is>
      </c>
      <c r="B88" s="8" t="n"/>
      <c r="C88" s="8" t="n"/>
      <c r="D88" s="8" t="n"/>
      <c r="E88" s="8" t="n"/>
      <c r="F88" s="8" t="n"/>
      <c r="G88" s="8" t="n"/>
      <c r="H88" s="8" t="n"/>
      <c r="I88" s="8" t="n"/>
      <c r="J88" s="8" t="n"/>
    </row>
    <row r="89" ht="15.75" customHeight="1" s="139">
      <c r="A89" s="12" t="inlineStr">
        <is>
          <t>Dataset</t>
        </is>
      </c>
      <c r="B89" s="12" t="inlineStr">
        <is>
          <t>Corpus</t>
        </is>
      </c>
      <c r="C89" s="12" t="inlineStr">
        <is>
          <t>Giai đoạn</t>
        </is>
      </c>
      <c r="D89" s="12" t="inlineStr">
        <is>
          <t>Bước</t>
        </is>
      </c>
      <c r="E89" s="12" t="inlineStr">
        <is>
          <t>Epoch</t>
        </is>
      </c>
      <c r="F89" s="12" t="inlineStr">
        <is>
          <t>Batch</t>
        </is>
      </c>
      <c r="G89" s="12" t="inlineStr">
        <is>
          <t>LR</t>
        </is>
      </c>
      <c r="H89" s="12" t="inlineStr">
        <is>
          <t>score_head_kernel</t>
        </is>
      </c>
      <c r="I89" s="12" t="inlineStr">
        <is>
          <t>mil_topk_pct</t>
        </is>
      </c>
      <c r="J89" s="12" t="inlineStr">
        <is>
          <t>Ghi chú</t>
        </is>
      </c>
    </row>
    <row r="90" ht="15.75" customHeight="1" s="139">
      <c r="A90" s="24" t="inlineStr">
        <is>
          <t>MSAD (cold)</t>
        </is>
      </c>
      <c r="B90" s="24" t="inlineStr">
        <is>
          <t>MSAD</t>
        </is>
      </c>
      <c r="C90" s="24" t="inlineStr">
        <is>
          <t>stage 1 + stage 2</t>
        </is>
      </c>
      <c r="D90" s="27" t="n">
        <v>500</v>
      </c>
      <c r="E90" s="27" t="n">
        <v>125</v>
      </c>
      <c r="F90" s="27" t="n">
        <v>64</v>
      </c>
      <c r="G90" s="27" t="inlineStr">
        <is>
          <t>5e-5</t>
        </is>
      </c>
      <c r="H90" s="27" t="n">
        <v>9</v>
      </c>
      <c r="I90" s="27" t="inlineStr">
        <is>
          <t>16 %</t>
        </is>
      </c>
      <c r="J90" s="24" t="inlineStr">
        <is>
          <t>KIP stage 1 đóng băng mọi thứ ngoài kip.*; stage 2 mở khóa trunk.</t>
        </is>
      </c>
    </row>
    <row r="91" ht="15.75" customHeight="1" s="139">
      <c r="A91" s="24" t="inlineStr">
        <is>
          <t>MSAD (PreVAD-trunk)</t>
        </is>
      </c>
      <c r="B91" s="24" t="inlineStr">
        <is>
          <t>MSAD</t>
        </is>
      </c>
      <c r="C91" s="24" t="inlineStr">
        <is>
          <t>stage 2, khởi động
warm-up từ checkpoint
trained trên PreVAD</t>
        </is>
      </c>
      <c r="D91" s="27" t="n">
        <v>160</v>
      </c>
      <c r="E91" s="27" t="n">
        <v>40</v>
      </c>
      <c r="F91" s="27" t="n">
        <v>64</v>
      </c>
      <c r="G91" s="27" t="inlineStr">
        <is>
          <t>5e-5</t>
        </is>
      </c>
      <c r="H91" s="27" t="n">
        <v>9</v>
      </c>
      <c r="I91" s="27" t="inlineStr">
        <is>
          <t>16 %</t>
        </is>
      </c>
      <c r="J91" s="24" t="inlineStr">
        <is>
          <t>Khởi động ấm từ trunk PreVAD → chỉ cần 160 bước và cho kết quả MSAD tốt nhất.</t>
        </is>
      </c>
    </row>
    <row r="92" ht="15.75" customHeight="1" s="139">
      <c r="A92" s="24" t="inlineStr">
        <is>
          <t>PreVAD</t>
        </is>
      </c>
      <c r="B92" s="24" t="inlineStr">
        <is>
          <t>PreVAD</t>
        </is>
      </c>
      <c r="C92" s="24" t="inlineStr">
        <is>
          <t>stage 2 (chỉ KIP-off)</t>
        </is>
      </c>
      <c r="D92" s="27" t="n">
        <v>13360</v>
      </c>
      <c r="E92" s="27" t="n">
        <v>40</v>
      </c>
      <c r="F92" s="27" t="n">
        <v>64</v>
      </c>
      <c r="G92" s="27" t="inlineStr">
        <is>
          <t>5e-5</t>
        </is>
      </c>
      <c r="H92" s="27" t="n">
        <v>9</v>
      </c>
      <c r="I92" s="27" t="inlineStr">
        <is>
          <t>16 %</t>
        </is>
      </c>
      <c r="J92" s="24" t="inlineStr">
        <is>
          <t>PreVAD chỉ ship đặc trưng CLIP, KHÔNG có pixel → vĩnh viễn không thể có arm KIP-on. Đã chốt 2026-08-29.</t>
        </is>
      </c>
    </row>
    <row r="93" ht="15.75" customHeight="1" s="139">
      <c r="A93" s="24" t="inlineStr">
        <is>
          <t>TAD</t>
        </is>
      </c>
      <c r="B93" s="24" t="inlineStr">
        <is>
          <t>TAD</t>
        </is>
      </c>
      <c r="C93" s="24" t="inlineStr">
        <is>
          <t>stage 2 (chỉ KIP-off)</t>
        </is>
      </c>
      <c r="D93" s="27" t="n">
        <v>504</v>
      </c>
      <c r="E93" s="27" t="n">
        <v>72</v>
      </c>
      <c r="F93" s="27" t="n">
        <v>64</v>
      </c>
      <c r="G93" s="27" t="inlineStr">
        <is>
          <t>5e-5</t>
        </is>
      </c>
      <c r="H93" s="27" t="n">
        <v>9</v>
      </c>
      <c r="I93" s="27" t="inlineStr">
        <is>
          <t>16 %</t>
        </is>
      </c>
      <c r="J93" s="24" t="inlineStr">
        <is>
          <t>A/B của KIP bị chặn bởi C14.</t>
        </is>
      </c>
    </row>
    <row r="94" ht="43.5" customHeight="1" s="139">
      <c r="A94" s="16" t="inlineStr">
        <is>
          <t>DADA gốc / T2 W=20</t>
        </is>
      </c>
      <c r="B94" s="16" t="inlineStr">
        <is>
          <t>DADA2000_orig</t>
        </is>
      </c>
      <c r="C94" s="16" t="inlineStr">
        <is>
          <t>stage 1 + stage 2</t>
        </is>
      </c>
      <c r="D94" s="22" t="n">
        <v>2040</v>
      </c>
      <c r="E94" s="22" t="n">
        <v>20</v>
      </c>
      <c r="F94" s="22" t="n">
        <v>64</v>
      </c>
      <c r="G94" s="22" t="inlineStr">
        <is>
          <t>5e-5</t>
        </is>
      </c>
      <c r="H94" s="22" t="n">
        <v>3</v>
      </c>
      <c r="I94" s="22" t="inlineStr">
        <is>
          <t>5 %</t>
        </is>
      </c>
      <c r="J94" s="16" t="inlineStr">
        <is>
          <t>Hai tham số này được HẠ có chủ đích cho window ngắn: kernel 9→3, top-k 16→5 % (ở L=20, top-k 16 % cho k=1 và L_MIL suy biến thành max thuần).</t>
        </is>
      </c>
    </row>
    <row r="95" ht="15.75" customHeight="1" s="139">
      <c r="A95" s="2" t="n"/>
      <c r="B95" s="2" t="n"/>
      <c r="C95" s="2" t="n"/>
      <c r="D95" s="2" t="n"/>
      <c r="E95" s="2" t="n"/>
      <c r="F95" s="2" t="n"/>
      <c r="G95" s="2" t="n"/>
      <c r="H95" s="2" t="n"/>
      <c r="I95" s="2" t="n"/>
      <c r="J95" s="2" t="n"/>
    </row>
    <row r="96" ht="15.75" customHeight="1" s="139">
      <c r="A96" s="8" t="inlineStr">
        <is>
          <t>7. TỔNG KẾT</t>
        </is>
      </c>
      <c r="B96" s="8" t="n"/>
      <c r="C96" s="8" t="n"/>
      <c r="D96" s="8" t="n"/>
      <c r="E96" s="8" t="n"/>
      <c r="F96" s="8" t="n"/>
      <c r="G96" s="8" t="n"/>
      <c r="H96" s="8" t="n"/>
      <c r="I96" s="8" t="n"/>
      <c r="J96" s="8" t="n"/>
    </row>
    <row r="97" ht="15.75" customHeight="1" s="139">
      <c r="A97" s="126" t="inlineStr">
        <is>
          <t>#</t>
        </is>
      </c>
      <c r="B97" s="126" t="inlineStr">
        <is>
          <t>Claim</t>
        </is>
      </c>
      <c r="C97" s="146" t="n"/>
      <c r="D97" s="147" t="n"/>
      <c r="E97" s="126" t="inlineStr">
        <is>
          <t>Note</t>
        </is>
      </c>
      <c r="F97" s="146" t="n"/>
      <c r="G97" s="146" t="n"/>
      <c r="H97" s="146" t="n"/>
      <c r="I97" s="147" t="n"/>
      <c r="J97" s="129" t="inlineStr">
        <is>
          <t>Note</t>
        </is>
      </c>
    </row>
    <row r="98" ht="60.75" customHeight="1" s="139">
      <c r="A98" s="130" t="inlineStr">
        <is>
          <t>1</t>
        </is>
      </c>
      <c r="B98" s="148" t="inlineStr">
        <is>
          <t>Code port từ LaGoVAD qua là code đúng khi đã reproduce được kết quả cho
các dataset (MSAD, DoTA, PreVAD).</t>
        </is>
      </c>
      <c r="C98" s="146" t="n"/>
      <c r="D98" s="147" t="n"/>
      <c r="E98" s="130" t="n"/>
      <c r="F98" s="146" t="n"/>
      <c r="G98" s="146" t="n"/>
      <c r="H98" s="146" t="n"/>
      <c r="I98" s="147" t="n"/>
      <c r="J98" s="96" t="n"/>
    </row>
    <row r="99" ht="39.75" customHeight="1" s="139">
      <c r="A99" s="130" t="inlineStr">
        <is>
          <t>2</t>
        </is>
      </c>
      <c r="B99" s="148" t="inlineStr">
        <is>
          <t>KIP mang lại +0.09 AUC trên DoTA khi huấn luyện trên MSAD.</t>
        </is>
      </c>
      <c r="C99" s="146" t="n"/>
      <c r="D99" s="147" t="n"/>
      <c r="E99" s="130" t="n"/>
      <c r="F99" s="146" t="n"/>
      <c r="G99" s="146" t="n"/>
      <c r="H99" s="146" t="n"/>
      <c r="I99" s="147" t="n"/>
      <c r="J99" s="101" t="n"/>
    </row>
    <row r="100" ht="57" customHeight="1" s="139">
      <c r="A100" s="133" t="inlineStr">
        <is>
          <t>3</t>
        </is>
      </c>
      <c r="B100" s="149" t="inlineStr">
        <is>
          <t>0.09 đó KHÔNG phải do chuyển động. Arm A2 (channel shift 50 %, không flow, không PMG, không loss KIP); đóng góp đo được là Temporal Smooth</t>
        </is>
      </c>
      <c r="C100" s="146" t="n"/>
      <c r="D100" s="147" t="n"/>
      <c r="E100" s="133" t="n"/>
      <c r="F100" s="146" t="n"/>
      <c r="G100" s="146" t="n"/>
      <c r="H100" s="146" t="n"/>
      <c r="I100" s="147" t="n"/>
      <c r="J100" s="101" t="n"/>
    </row>
    <row r="101" ht="55.5" customHeight="1" s="139">
      <c r="A101" s="133" t="inlineStr">
        <is>
          <t>5</t>
        </is>
      </c>
      <c r="B101" s="149" t="inlineStr">
        <is>
          <t>Hiện tại khẳng định của đề tài là optical flow giúp học được chuyển động, mã hoá được vận 
tốc trong video đang chưa khẳng định được</t>
        </is>
      </c>
      <c r="C101" s="146" t="n"/>
      <c r="D101" s="147" t="n"/>
      <c r="E101" s="133" t="n"/>
      <c r="F101" s="146" t="n"/>
      <c r="G101" s="146" t="n"/>
      <c r="H101" s="146" t="n"/>
      <c r="I101" s="147" t="n"/>
      <c r="J101" s="96" t="n"/>
    </row>
    <row r="102" ht="52.5" customHeight="1" s="139">
      <c r="A102" s="136" t="inlineStr">
        <is>
          <t>7</t>
        </is>
      </c>
      <c r="B102" s="150" t="inlineStr">
        <is>
          <t>Micro AUC của TAD hiện rất cao nhưng không sử dụng được vì macro AUC rất thấp, việc micro
AUC cao do model học được cách phân loại theo clip thay vì phân loại theo frame</t>
        </is>
      </c>
      <c r="C102" s="146" t="n"/>
      <c r="D102" s="147" t="n"/>
      <c r="E102" s="136" t="n"/>
      <c r="F102" s="146" t="n"/>
      <c r="G102" s="146" t="n"/>
      <c r="H102" s="146" t="n"/>
      <c r="I102" s="147" t="n"/>
      <c r="J102" s="96" t="n"/>
    </row>
    <row r="103" ht="59.25" customHeight="1" s="139">
      <c r="A103" s="130" t="inlineStr">
        <is>
          <t>8</t>
        </is>
      </c>
      <c r="B103" s="148" t="inlineStr">
        <is>
          <t>DADA2000 W=20 (macro 0.6248 &gt; probe 0.5983, và macro ≥ micro) đưa macro, micro AUC 
về đúng nhưng kết quả chưa cao và KIP on chưa đạt được hiệu quả</t>
        </is>
      </c>
      <c r="C103" s="146" t="n"/>
      <c r="D103" s="147" t="n"/>
      <c r="E103" s="130" t="n"/>
      <c r="F103" s="146" t="n"/>
      <c r="G103" s="146" t="n"/>
      <c r="H103" s="146" t="n"/>
      <c r="I103" s="147" t="n"/>
      <c r="J103" s="96" t="n"/>
    </row>
    <row r="104" ht="45" customHeight="1" s="139">
      <c r="A104" s="136" t="n">
        <v>9</v>
      </c>
      <c r="B104" s="150" t="inlineStr">
        <is>
          <t>'KIP cải thiện T2' hoặc 'KIP cải thiện DoTA zero-shot khi train trên T2' (3/3 seed dương nhưng khoảng tin cậy chứa 0).</t>
        </is>
      </c>
      <c r="C104" s="146" t="n"/>
      <c r="D104" s="147" t="n"/>
      <c r="E104" s="136" t="n"/>
      <c r="F104" s="146" t="n"/>
      <c r="G104" s="146" t="n"/>
      <c r="H104" s="146" t="n"/>
      <c r="I104" s="147" t="n"/>
      <c r="J104" s="96" t="n"/>
    </row>
    <row r="105" ht="15.75" customHeight="1" s="139">
      <c r="A105" s="2" t="n"/>
      <c r="B105" s="2" t="n"/>
      <c r="C105" s="2" t="n"/>
      <c r="D105" s="2" t="n"/>
      <c r="E105" s="2" t="n"/>
      <c r="F105" s="2" t="n"/>
      <c r="G105" s="2" t="n"/>
      <c r="H105" s="2" t="n"/>
      <c r="I105" s="2" t="n"/>
      <c r="J105" s="2" t="n"/>
    </row>
    <row r="106" ht="15.75" customHeight="1" s="139">
      <c r="A106" s="2" t="n"/>
      <c r="B106" s="2" t="n"/>
      <c r="C106" s="2" t="n"/>
      <c r="D106" s="2" t="n"/>
      <c r="E106" s="2" t="n"/>
      <c r="F106" s="2" t="n"/>
      <c r="G106" s="2" t="n"/>
      <c r="H106" s="2" t="n"/>
      <c r="I106" s="2" t="n"/>
      <c r="J106" s="2" t="n"/>
    </row>
    <row r="107" ht="15.75" customHeight="1" s="139">
      <c r="A107" s="2" t="n"/>
      <c r="B107" s="2" t="n"/>
      <c r="C107" s="2" t="n"/>
      <c r="D107" s="2" t="n"/>
      <c r="E107" s="2" t="n"/>
      <c r="F107" s="2" t="n"/>
      <c r="G107" s="2" t="n"/>
      <c r="H107" s="2" t="n"/>
      <c r="I107" s="2" t="n"/>
      <c r="J107" s="2" t="n"/>
    </row>
    <row r="108" ht="15.75" customHeight="1" s="139">
      <c r="A108" s="2" t="n"/>
      <c r="B108" s="2" t="n"/>
      <c r="C108" s="2" t="n"/>
      <c r="D108" s="2" t="n"/>
      <c r="E108" s="2" t="n"/>
      <c r="F108" s="2" t="n"/>
      <c r="G108" s="2" t="n"/>
      <c r="H108" s="2" t="n"/>
      <c r="I108" s="2" t="n"/>
      <c r="J108" s="2" t="n"/>
    </row>
    <row r="109" ht="15.75" customHeight="1" s="139">
      <c r="A109" s="2" t="n"/>
      <c r="B109" s="2" t="n"/>
      <c r="C109" s="2" t="n"/>
      <c r="D109" s="2" t="n"/>
      <c r="E109" s="2" t="n"/>
      <c r="F109" s="2" t="n"/>
      <c r="G109" s="2" t="n"/>
      <c r="H109" s="2" t="n"/>
      <c r="I109" s="2" t="n"/>
      <c r="J109" s="2" t="n"/>
    </row>
    <row r="110" ht="15.75" customHeight="1" s="139">
      <c r="A110" s="2" t="n"/>
      <c r="B110" s="2" t="n"/>
      <c r="C110" s="2" t="n"/>
      <c r="D110" s="2" t="n"/>
      <c r="E110" s="2" t="n"/>
      <c r="F110" s="2" t="n"/>
      <c r="G110" s="2" t="n"/>
      <c r="H110" s="2" t="n"/>
      <c r="I110" s="2" t="n"/>
      <c r="J110" s="2" t="n"/>
    </row>
    <row r="111" ht="15.75" customHeight="1" s="139">
      <c r="A111" s="2" t="n"/>
      <c r="B111" s="2" t="n"/>
      <c r="C111" s="2" t="n"/>
      <c r="D111" s="2" t="n"/>
      <c r="E111" s="2" t="n"/>
      <c r="F111" s="2" t="n"/>
      <c r="G111" s="2" t="n"/>
      <c r="H111" s="2" t="n"/>
      <c r="I111" s="2" t="n"/>
      <c r="J111" s="2" t="n"/>
    </row>
    <row r="112" ht="15.75" customHeight="1" s="139">
      <c r="A112" s="2" t="n"/>
      <c r="B112" s="2" t="n"/>
      <c r="C112" s="2" t="n"/>
      <c r="D112" s="2" t="n"/>
      <c r="E112" s="2" t="n"/>
      <c r="F112" s="2" t="n"/>
      <c r="G112" s="2" t="n"/>
      <c r="H112" s="2" t="n"/>
      <c r="I112" s="2" t="n"/>
      <c r="J112" s="2" t="n"/>
    </row>
    <row r="113" ht="15.75" customHeight="1" s="139">
      <c r="A113" s="2" t="n"/>
      <c r="B113" s="2" t="n"/>
      <c r="C113" s="2" t="n"/>
      <c r="D113" s="2" t="n"/>
      <c r="E113" s="2" t="n"/>
      <c r="F113" s="2" t="n"/>
      <c r="G113" s="2" t="n"/>
      <c r="H113" s="2" t="n"/>
      <c r="I113" s="2" t="n"/>
      <c r="J113" s="2" t="n"/>
    </row>
    <row r="114" ht="15.75" customHeight="1" s="139">
      <c r="A114" s="2" t="n"/>
      <c r="B114" s="2" t="n"/>
      <c r="C114" s="2" t="n"/>
      <c r="D114" s="2" t="n"/>
      <c r="E114" s="2" t="n"/>
      <c r="F114" s="2" t="n"/>
      <c r="G114" s="2" t="n"/>
      <c r="H114" s="2" t="n"/>
      <c r="I114" s="2" t="n"/>
      <c r="J114" s="2" t="n"/>
    </row>
    <row r="115" ht="15.75" customHeight="1" s="139">
      <c r="A115" s="2" t="n"/>
      <c r="B115" s="2" t="n"/>
      <c r="C115" s="2" t="n"/>
      <c r="D115" s="2" t="n"/>
      <c r="E115" s="2" t="n"/>
      <c r="F115" s="2" t="n"/>
      <c r="G115" s="2" t="n"/>
      <c r="H115" s="2" t="n"/>
      <c r="I115" s="2" t="n"/>
      <c r="J115" s="2" t="n"/>
    </row>
    <row r="116" ht="15.75" customHeight="1" s="139">
      <c r="A116" s="2" t="n"/>
      <c r="B116" s="2" t="n"/>
      <c r="C116" s="2" t="n"/>
      <c r="D116" s="2" t="n"/>
      <c r="E116" s="2" t="n"/>
      <c r="F116" s="2" t="n"/>
      <c r="G116" s="2" t="n"/>
      <c r="H116" s="2" t="n"/>
      <c r="I116" s="2" t="n"/>
      <c r="J116" s="2" t="n"/>
    </row>
    <row r="117" ht="15.75" customHeight="1" s="139">
      <c r="A117" s="2" t="n"/>
      <c r="B117" s="2" t="n"/>
      <c r="C117" s="2" t="n"/>
      <c r="D117" s="2" t="n"/>
      <c r="E117" s="2" t="n"/>
      <c r="F117" s="2" t="n"/>
      <c r="G117" s="2" t="n"/>
      <c r="H117" s="2" t="n"/>
      <c r="I117" s="2" t="n"/>
      <c r="J117" s="2" t="n"/>
    </row>
    <row r="118" ht="15.75" customHeight="1" s="139">
      <c r="A118" s="2" t="n"/>
      <c r="B118" s="2" t="n"/>
      <c r="C118" s="2" t="n"/>
      <c r="D118" s="2" t="n"/>
      <c r="E118" s="2" t="n"/>
      <c r="F118" s="2" t="n"/>
      <c r="G118" s="2" t="n"/>
      <c r="H118" s="2" t="n"/>
      <c r="I118" s="2" t="n"/>
      <c r="J118" s="2" t="n"/>
    </row>
    <row r="119" ht="15.75" customHeight="1" s="139">
      <c r="A119" s="2" t="n"/>
      <c r="B119" s="2" t="n"/>
      <c r="C119" s="2" t="n"/>
      <c r="D119" s="2" t="n"/>
      <c r="E119" s="2" t="n"/>
      <c r="F119" s="2" t="n"/>
      <c r="G119" s="2" t="n"/>
      <c r="H119" s="2" t="n"/>
      <c r="I119" s="2" t="n"/>
      <c r="J119" s="2" t="n"/>
    </row>
    <row r="120" ht="15.75" customHeight="1" s="139">
      <c r="A120" s="2" t="n"/>
      <c r="B120" s="2" t="n"/>
      <c r="C120" s="2" t="n"/>
      <c r="D120" s="2" t="n"/>
      <c r="E120" s="2" t="n"/>
      <c r="F120" s="2" t="n"/>
      <c r="G120" s="2" t="n"/>
      <c r="H120" s="2" t="n"/>
      <c r="I120" s="2" t="n"/>
      <c r="J120" s="2" t="n"/>
    </row>
    <row r="121" ht="15.75" customHeight="1" s="139">
      <c r="A121" s="2" t="n"/>
      <c r="B121" s="2" t="n"/>
      <c r="C121" s="2" t="n"/>
      <c r="D121" s="2" t="n"/>
      <c r="E121" s="2" t="n"/>
      <c r="F121" s="2" t="n"/>
      <c r="G121" s="2" t="n"/>
      <c r="H121" s="2" t="n"/>
      <c r="I121" s="2" t="n"/>
      <c r="J121" s="2" t="n"/>
    </row>
    <row r="122" ht="15.75" customHeight="1" s="139">
      <c r="A122" s="2" t="n"/>
      <c r="B122" s="2" t="n"/>
      <c r="C122" s="2" t="n"/>
      <c r="D122" s="2" t="n"/>
      <c r="E122" s="2" t="n"/>
      <c r="F122" s="2" t="n"/>
      <c r="G122" s="2" t="n"/>
      <c r="H122" s="2" t="n"/>
      <c r="I122" s="2" t="n"/>
      <c r="J122" s="2" t="n"/>
    </row>
    <row r="123" ht="15.75" customHeight="1" s="139">
      <c r="A123" s="2" t="n"/>
      <c r="B123" s="2" t="n"/>
      <c r="C123" s="2" t="n"/>
      <c r="D123" s="2" t="n"/>
      <c r="E123" s="2" t="n"/>
      <c r="F123" s="2" t="n"/>
      <c r="G123" s="2" t="n"/>
      <c r="H123" s="2" t="n"/>
      <c r="I123" s="2" t="n"/>
      <c r="J123" s="2" t="n"/>
    </row>
    <row r="124" ht="15.75" customHeight="1" s="139">
      <c r="A124" s="2" t="n"/>
      <c r="B124" s="2" t="n"/>
      <c r="C124" s="2" t="n"/>
      <c r="D124" s="2" t="n"/>
      <c r="E124" s="2" t="n"/>
      <c r="F124" s="2" t="n"/>
      <c r="G124" s="2" t="n"/>
      <c r="H124" s="2" t="n"/>
      <c r="I124" s="2" t="n"/>
      <c r="J124" s="2" t="n"/>
    </row>
    <row r="125" ht="15.75" customHeight="1" s="139">
      <c r="A125" s="2" t="n"/>
      <c r="B125" s="2" t="n"/>
      <c r="C125" s="2" t="n"/>
      <c r="D125" s="2" t="n"/>
      <c r="E125" s="2" t="n"/>
      <c r="F125" s="2" t="n"/>
      <c r="G125" s="2" t="n"/>
      <c r="H125" s="2" t="n"/>
      <c r="I125" s="2" t="n"/>
      <c r="J125" s="2" t="n"/>
    </row>
    <row r="126" ht="15.75" customHeight="1" s="139">
      <c r="A126" s="2" t="n"/>
      <c r="B126" s="2" t="n"/>
      <c r="C126" s="2" t="n"/>
      <c r="D126" s="2" t="n"/>
      <c r="E126" s="2" t="n"/>
      <c r="F126" s="2" t="n"/>
      <c r="G126" s="2" t="n"/>
      <c r="H126" s="2" t="n"/>
      <c r="I126" s="2" t="n"/>
      <c r="J126" s="2" t="n"/>
    </row>
    <row r="127" ht="15.75" customHeight="1" s="139">
      <c r="A127" s="2" t="n"/>
      <c r="B127" s="2" t="n"/>
      <c r="C127" s="2" t="n"/>
      <c r="D127" s="2" t="n"/>
      <c r="E127" s="2" t="n"/>
      <c r="F127" s="2" t="n"/>
      <c r="G127" s="2" t="n"/>
      <c r="H127" s="2" t="n"/>
      <c r="I127" s="2" t="n"/>
      <c r="J127" s="2" t="n"/>
    </row>
    <row r="128" ht="15.75" customHeight="1" s="139">
      <c r="A128" s="2" t="n"/>
      <c r="B128" s="2" t="n"/>
      <c r="C128" s="2" t="n"/>
      <c r="D128" s="2" t="n"/>
      <c r="E128" s="2" t="n"/>
      <c r="F128" s="2" t="n"/>
      <c r="G128" s="2" t="n"/>
      <c r="H128" s="2" t="n"/>
      <c r="I128" s="2" t="n"/>
      <c r="J128" s="2" t="n"/>
    </row>
    <row r="129" ht="15.75" customHeight="1" s="139">
      <c r="A129" s="2" t="n"/>
      <c r="B129" s="2" t="n"/>
      <c r="C129" s="2" t="n"/>
      <c r="D129" s="2" t="n"/>
      <c r="E129" s="2" t="n"/>
      <c r="F129" s="2" t="n"/>
      <c r="G129" s="2" t="n"/>
      <c r="H129" s="2" t="n"/>
      <c r="I129" s="2" t="n"/>
      <c r="J129" s="2" t="n"/>
    </row>
    <row r="130" ht="15.75" customHeight="1" s="139">
      <c r="A130" s="2" t="n"/>
      <c r="B130" s="2" t="n"/>
      <c r="C130" s="2" t="n"/>
      <c r="D130" s="2" t="n"/>
      <c r="E130" s="2" t="n"/>
      <c r="F130" s="2" t="n"/>
      <c r="G130" s="2" t="n"/>
      <c r="H130" s="2" t="n"/>
      <c r="I130" s="2" t="n"/>
      <c r="J130" s="2" t="n"/>
    </row>
    <row r="131" ht="15.75" customHeight="1" s="139">
      <c r="A131" s="2" t="n"/>
      <c r="B131" s="2" t="n"/>
      <c r="C131" s="2" t="n"/>
      <c r="D131" s="2" t="n"/>
      <c r="E131" s="2" t="n"/>
      <c r="F131" s="2" t="n"/>
      <c r="G131" s="2" t="n"/>
      <c r="H131" s="2" t="n"/>
      <c r="I131" s="2" t="n"/>
      <c r="J131" s="2" t="n"/>
    </row>
    <row r="132" ht="15.75" customHeight="1" s="139">
      <c r="A132" s="2" t="n"/>
      <c r="B132" s="2" t="n"/>
      <c r="C132" s="2" t="n"/>
      <c r="D132" s="2" t="n"/>
      <c r="E132" s="2" t="n"/>
      <c r="F132" s="2" t="n"/>
      <c r="G132" s="2" t="n"/>
      <c r="H132" s="2" t="n"/>
      <c r="I132" s="2" t="n"/>
      <c r="J132" s="2" t="n"/>
    </row>
    <row r="133" ht="15.75" customHeight="1" s="139">
      <c r="A133" s="2" t="n"/>
      <c r="B133" s="2" t="n"/>
      <c r="C133" s="2" t="n"/>
      <c r="D133" s="2" t="n"/>
      <c r="E133" s="2" t="n"/>
      <c r="F133" s="2" t="n"/>
      <c r="G133" s="2" t="n"/>
      <c r="H133" s="2" t="n"/>
      <c r="I133" s="2" t="n"/>
      <c r="J133" s="2" t="n"/>
    </row>
    <row r="134" ht="15.75" customHeight="1" s="139">
      <c r="A134" s="2" t="n"/>
      <c r="B134" s="2" t="n"/>
      <c r="C134" s="2" t="n"/>
      <c r="D134" s="2" t="n"/>
      <c r="E134" s="2" t="n"/>
      <c r="F134" s="2" t="n"/>
      <c r="G134" s="2" t="n"/>
      <c r="H134" s="2" t="n"/>
      <c r="I134" s="2" t="n"/>
      <c r="J134" s="2" t="n"/>
    </row>
    <row r="135" ht="15.75" customHeight="1" s="139">
      <c r="A135" s="2" t="n"/>
      <c r="B135" s="2" t="n"/>
      <c r="C135" s="2" t="n"/>
      <c r="D135" s="2" t="n"/>
      <c r="E135" s="2" t="n"/>
      <c r="F135" s="2" t="n"/>
      <c r="G135" s="2" t="n"/>
      <c r="H135" s="2" t="n"/>
      <c r="I135" s="2" t="n"/>
      <c r="J135" s="2" t="n"/>
    </row>
    <row r="136" ht="15.75" customHeight="1" s="139">
      <c r="A136" s="2" t="n"/>
      <c r="B136" s="2" t="n"/>
      <c r="C136" s="2" t="n"/>
      <c r="D136" s="2" t="n"/>
      <c r="E136" s="2" t="n"/>
      <c r="F136" s="2" t="n"/>
      <c r="G136" s="2" t="n"/>
      <c r="H136" s="2" t="n"/>
      <c r="I136" s="2" t="n"/>
      <c r="J136" s="2" t="n"/>
    </row>
    <row r="137" ht="15.75" customHeight="1" s="139">
      <c r="A137" s="2" t="n"/>
      <c r="B137" s="2" t="n"/>
      <c r="C137" s="2" t="n"/>
      <c r="D137" s="2" t="n"/>
      <c r="E137" s="2" t="n"/>
      <c r="F137" s="2" t="n"/>
      <c r="G137" s="2" t="n"/>
      <c r="H137" s="2" t="n"/>
      <c r="I137" s="2" t="n"/>
      <c r="J137" s="2" t="n"/>
    </row>
    <row r="138" ht="15.75" customHeight="1" s="139">
      <c r="A138" s="2" t="n"/>
      <c r="B138" s="2" t="n"/>
      <c r="C138" s="2" t="n"/>
      <c r="D138" s="2" t="n"/>
      <c r="E138" s="2" t="n"/>
      <c r="F138" s="2" t="n"/>
      <c r="G138" s="2" t="n"/>
      <c r="H138" s="2" t="n"/>
      <c r="I138" s="2" t="n"/>
      <c r="J138" s="2" t="n"/>
    </row>
    <row r="139" ht="15.75" customHeight="1" s="139">
      <c r="A139" s="2" t="n"/>
      <c r="B139" s="2" t="n"/>
      <c r="C139" s="2" t="n"/>
      <c r="D139" s="2" t="n"/>
      <c r="E139" s="2" t="n"/>
      <c r="F139" s="2" t="n"/>
      <c r="G139" s="2" t="n"/>
      <c r="H139" s="2" t="n"/>
      <c r="I139" s="2" t="n"/>
      <c r="J139" s="2" t="n"/>
    </row>
    <row r="140" ht="15.75" customHeight="1" s="139">
      <c r="A140" s="2" t="n"/>
      <c r="B140" s="2" t="n"/>
      <c r="C140" s="2" t="n"/>
      <c r="D140" s="2" t="n"/>
      <c r="E140" s="2" t="n"/>
      <c r="F140" s="2" t="n"/>
      <c r="G140" s="2" t="n"/>
      <c r="H140" s="2" t="n"/>
      <c r="I140" s="2" t="n"/>
      <c r="J140" s="2" t="n"/>
    </row>
    <row r="141" ht="15.75" customHeight="1" s="139">
      <c r="A141" s="2" t="n"/>
      <c r="B141" s="2" t="n"/>
      <c r="C141" s="2" t="n"/>
      <c r="D141" s="2" t="n"/>
      <c r="E141" s="2" t="n"/>
      <c r="F141" s="2" t="n"/>
      <c r="G141" s="2" t="n"/>
      <c r="H141" s="2" t="n"/>
      <c r="I141" s="2" t="n"/>
      <c r="J141" s="2" t="n"/>
    </row>
    <row r="142" ht="15.75" customHeight="1" s="139">
      <c r="A142" s="2" t="n"/>
      <c r="B142" s="2" t="n"/>
      <c r="C142" s="2" t="n"/>
      <c r="D142" s="2" t="n"/>
      <c r="E142" s="2" t="n"/>
      <c r="F142" s="2" t="n"/>
      <c r="G142" s="2" t="n"/>
      <c r="H142" s="2" t="n"/>
      <c r="I142" s="2" t="n"/>
      <c r="J142" s="2" t="n"/>
    </row>
    <row r="143" ht="15.75" customHeight="1" s="139">
      <c r="A143" s="2" t="n"/>
      <c r="B143" s="2" t="n"/>
      <c r="C143" s="2" t="n"/>
      <c r="D143" s="2" t="n"/>
      <c r="E143" s="2" t="n"/>
      <c r="F143" s="2" t="n"/>
      <c r="G143" s="2" t="n"/>
      <c r="H143" s="2" t="n"/>
      <c r="I143" s="2" t="n"/>
      <c r="J143" s="2" t="n"/>
    </row>
    <row r="144" ht="15.75" customHeight="1" s="139">
      <c r="A144" s="2" t="n"/>
      <c r="B144" s="2" t="n"/>
      <c r="C144" s="2" t="n"/>
      <c r="D144" s="2" t="n"/>
      <c r="E144" s="2" t="n"/>
      <c r="F144" s="2" t="n"/>
      <c r="G144" s="2" t="n"/>
      <c r="H144" s="2" t="n"/>
      <c r="I144" s="2" t="n"/>
      <c r="J144" s="2" t="n"/>
    </row>
    <row r="145" ht="15.75" customHeight="1" s="139">
      <c r="A145" s="2" t="n"/>
      <c r="B145" s="2" t="n"/>
      <c r="C145" s="2" t="n"/>
      <c r="D145" s="2" t="n"/>
      <c r="E145" s="2" t="n"/>
      <c r="F145" s="2" t="n"/>
      <c r="G145" s="2" t="n"/>
      <c r="H145" s="2" t="n"/>
      <c r="I145" s="2" t="n"/>
      <c r="J145" s="2" t="n"/>
    </row>
    <row r="146" ht="15.75" customHeight="1" s="139">
      <c r="A146" s="2" t="n"/>
      <c r="B146" s="2" t="n"/>
      <c r="C146" s="2" t="n"/>
      <c r="D146" s="2" t="n"/>
      <c r="E146" s="2" t="n"/>
      <c r="F146" s="2" t="n"/>
      <c r="G146" s="2" t="n"/>
      <c r="H146" s="2" t="n"/>
      <c r="I146" s="2" t="n"/>
      <c r="J146" s="2" t="n"/>
    </row>
    <row r="147" ht="15.75" customHeight="1" s="139">
      <c r="A147" s="2" t="n"/>
      <c r="B147" s="2" t="n"/>
      <c r="C147" s="2" t="n"/>
      <c r="D147" s="2" t="n"/>
      <c r="E147" s="2" t="n"/>
      <c r="F147" s="2" t="n"/>
      <c r="G147" s="2" t="n"/>
      <c r="H147" s="2" t="n"/>
      <c r="I147" s="2" t="n"/>
      <c r="J147" s="2" t="n"/>
    </row>
    <row r="148" ht="15.75" customHeight="1" s="139">
      <c r="A148" s="2" t="n"/>
      <c r="B148" s="2" t="n"/>
      <c r="C148" s="2" t="n"/>
      <c r="D148" s="2" t="n"/>
      <c r="E148" s="2" t="n"/>
      <c r="F148" s="2" t="n"/>
      <c r="G148" s="2" t="n"/>
      <c r="H148" s="2" t="n"/>
      <c r="I148" s="2" t="n"/>
      <c r="J148" s="2" t="n"/>
    </row>
    <row r="149" ht="15.75" customHeight="1" s="139">
      <c r="A149" s="2" t="n"/>
      <c r="B149" s="2" t="n"/>
      <c r="C149" s="2" t="n"/>
      <c r="D149" s="2" t="n"/>
      <c r="E149" s="2" t="n"/>
      <c r="F149" s="2" t="n"/>
      <c r="G149" s="2" t="n"/>
      <c r="H149" s="2" t="n"/>
      <c r="I149" s="2" t="n"/>
      <c r="J149" s="2" t="n"/>
    </row>
    <row r="150" ht="15.75" customHeight="1" s="139">
      <c r="A150" s="2" t="n"/>
      <c r="B150" s="2" t="n"/>
      <c r="C150" s="2" t="n"/>
      <c r="D150" s="2" t="n"/>
      <c r="E150" s="2" t="n"/>
      <c r="F150" s="2" t="n"/>
      <c r="G150" s="2" t="n"/>
      <c r="H150" s="2" t="n"/>
      <c r="I150" s="2" t="n"/>
      <c r="J150" s="2" t="n"/>
    </row>
    <row r="151" ht="15.75" customHeight="1" s="139">
      <c r="A151" s="2" t="n"/>
      <c r="B151" s="2" t="n"/>
      <c r="C151" s="2" t="n"/>
      <c r="D151" s="2" t="n"/>
      <c r="E151" s="2" t="n"/>
      <c r="F151" s="2" t="n"/>
      <c r="G151" s="2" t="n"/>
      <c r="H151" s="2" t="n"/>
      <c r="I151" s="2" t="n"/>
      <c r="J151" s="2" t="n"/>
    </row>
    <row r="152" ht="15.75" customHeight="1" s="139">
      <c r="A152" s="2" t="n"/>
      <c r="B152" s="2" t="n"/>
      <c r="C152" s="2" t="n"/>
      <c r="D152" s="2" t="n"/>
      <c r="E152" s="2" t="n"/>
      <c r="F152" s="2" t="n"/>
      <c r="G152" s="2" t="n"/>
      <c r="H152" s="2" t="n"/>
      <c r="I152" s="2" t="n"/>
      <c r="J152" s="2" t="n"/>
    </row>
    <row r="153" ht="15.75" customHeight="1" s="139">
      <c r="A153" s="2" t="n"/>
      <c r="B153" s="2" t="n"/>
      <c r="C153" s="2" t="n"/>
      <c r="D153" s="2" t="n"/>
      <c r="E153" s="2" t="n"/>
      <c r="F153" s="2" t="n"/>
      <c r="G153" s="2" t="n"/>
      <c r="H153" s="2" t="n"/>
      <c r="I153" s="2" t="n"/>
      <c r="J153" s="2" t="n"/>
    </row>
    <row r="154" ht="15.75" customHeight="1" s="139">
      <c r="A154" s="2" t="n"/>
      <c r="B154" s="2" t="n"/>
      <c r="C154" s="2" t="n"/>
      <c r="D154" s="2" t="n"/>
      <c r="E154" s="2" t="n"/>
      <c r="F154" s="2" t="n"/>
      <c r="G154" s="2" t="n"/>
      <c r="H154" s="2" t="n"/>
      <c r="I154" s="2" t="n"/>
      <c r="J154" s="2" t="n"/>
    </row>
    <row r="155" ht="15.75" customHeight="1" s="139">
      <c r="A155" s="2" t="n"/>
      <c r="B155" s="2" t="n"/>
      <c r="C155" s="2" t="n"/>
      <c r="D155" s="2" t="n"/>
      <c r="E155" s="2" t="n"/>
      <c r="F155" s="2" t="n"/>
      <c r="G155" s="2" t="n"/>
      <c r="H155" s="2" t="n"/>
      <c r="I155" s="2" t="n"/>
      <c r="J155" s="2" t="n"/>
    </row>
    <row r="156" ht="15.75" customHeight="1" s="139">
      <c r="A156" s="2" t="n"/>
      <c r="B156" s="2" t="n"/>
      <c r="C156" s="2" t="n"/>
      <c r="D156" s="2" t="n"/>
      <c r="E156" s="2" t="n"/>
      <c r="F156" s="2" t="n"/>
      <c r="G156" s="2" t="n"/>
      <c r="H156" s="2" t="n"/>
      <c r="I156" s="2" t="n"/>
      <c r="J156" s="2" t="n"/>
    </row>
    <row r="157" ht="15.75" customHeight="1" s="139">
      <c r="A157" s="2" t="n"/>
      <c r="B157" s="2" t="n"/>
      <c r="C157" s="2" t="n"/>
      <c r="D157" s="2" t="n"/>
      <c r="E157" s="2" t="n"/>
      <c r="F157" s="2" t="n"/>
      <c r="G157" s="2" t="n"/>
      <c r="H157" s="2" t="n"/>
      <c r="I157" s="2" t="n"/>
      <c r="J157" s="2" t="n"/>
    </row>
    <row r="158" ht="15.75" customHeight="1" s="139">
      <c r="A158" s="2" t="n"/>
      <c r="B158" s="2" t="n"/>
      <c r="C158" s="2" t="n"/>
      <c r="D158" s="2" t="n"/>
      <c r="E158" s="2" t="n"/>
      <c r="F158" s="2" t="n"/>
      <c r="G158" s="2" t="n"/>
      <c r="H158" s="2" t="n"/>
      <c r="I158" s="2" t="n"/>
      <c r="J158" s="2" t="n"/>
    </row>
    <row r="159" ht="15.75" customHeight="1" s="139">
      <c r="A159" s="2" t="n"/>
      <c r="B159" s="2" t="n"/>
      <c r="C159" s="2" t="n"/>
      <c r="D159" s="2" t="n"/>
      <c r="E159" s="2" t="n"/>
      <c r="F159" s="2" t="n"/>
      <c r="G159" s="2" t="n"/>
      <c r="H159" s="2" t="n"/>
      <c r="I159" s="2" t="n"/>
      <c r="J159" s="2" t="n"/>
    </row>
    <row r="160" ht="15.75" customHeight="1" s="139">
      <c r="A160" s="2" t="n"/>
      <c r="B160" s="2" t="n"/>
      <c r="C160" s="2" t="n"/>
      <c r="D160" s="2" t="n"/>
      <c r="E160" s="2" t="n"/>
      <c r="F160" s="2" t="n"/>
      <c r="G160" s="2" t="n"/>
      <c r="H160" s="2" t="n"/>
      <c r="I160" s="2" t="n"/>
      <c r="J160" s="2" t="n"/>
    </row>
    <row r="161" ht="15.75" customHeight="1" s="139">
      <c r="A161" s="2" t="n"/>
      <c r="B161" s="2" t="n"/>
      <c r="C161" s="2" t="n"/>
      <c r="D161" s="2" t="n"/>
      <c r="E161" s="2" t="n"/>
      <c r="F161" s="2" t="n"/>
      <c r="G161" s="2" t="n"/>
      <c r="H161" s="2" t="n"/>
      <c r="I161" s="2" t="n"/>
      <c r="J161" s="2" t="n"/>
    </row>
    <row r="162" ht="15.75" customHeight="1" s="139">
      <c r="A162" s="2" t="n"/>
      <c r="B162" s="2" t="n"/>
      <c r="C162" s="2" t="n"/>
      <c r="D162" s="2" t="n"/>
      <c r="E162" s="2" t="n"/>
      <c r="F162" s="2" t="n"/>
      <c r="G162" s="2" t="n"/>
      <c r="H162" s="2" t="n"/>
      <c r="I162" s="2" t="n"/>
      <c r="J162" s="2" t="n"/>
    </row>
    <row r="163" ht="15.75" customHeight="1" s="139">
      <c r="A163" s="2" t="n"/>
      <c r="B163" s="2" t="n"/>
      <c r="C163" s="2" t="n"/>
      <c r="D163" s="2" t="n"/>
      <c r="E163" s="2" t="n"/>
      <c r="F163" s="2" t="n"/>
      <c r="G163" s="2" t="n"/>
      <c r="H163" s="2" t="n"/>
      <c r="I163" s="2" t="n"/>
      <c r="J163" s="2" t="n"/>
    </row>
    <row r="164" ht="15.75" customHeight="1" s="139">
      <c r="A164" s="2" t="n"/>
      <c r="B164" s="2" t="n"/>
      <c r="C164" s="2" t="n"/>
      <c r="D164" s="2" t="n"/>
      <c r="E164" s="2" t="n"/>
      <c r="F164" s="2" t="n"/>
      <c r="G164" s="2" t="n"/>
      <c r="H164" s="2" t="n"/>
      <c r="I164" s="2" t="n"/>
      <c r="J164" s="2" t="n"/>
    </row>
    <row r="165" ht="15.75" customHeight="1" s="139">
      <c r="A165" s="2" t="n"/>
      <c r="B165" s="2" t="n"/>
      <c r="C165" s="2" t="n"/>
      <c r="D165" s="2" t="n"/>
      <c r="E165" s="2" t="n"/>
      <c r="F165" s="2" t="n"/>
      <c r="G165" s="2" t="n"/>
      <c r="H165" s="2" t="n"/>
      <c r="I165" s="2" t="n"/>
      <c r="J165" s="2" t="n"/>
    </row>
    <row r="166" ht="15.75" customHeight="1" s="139">
      <c r="A166" s="2" t="n"/>
      <c r="B166" s="2" t="n"/>
      <c r="C166" s="2" t="n"/>
      <c r="D166" s="2" t="n"/>
      <c r="E166" s="2" t="n"/>
      <c r="F166" s="2" t="n"/>
      <c r="G166" s="2" t="n"/>
      <c r="H166" s="2" t="n"/>
      <c r="I166" s="2" t="n"/>
      <c r="J166" s="2" t="n"/>
    </row>
    <row r="167" ht="15.75" customHeight="1" s="139">
      <c r="A167" s="2" t="n"/>
      <c r="B167" s="2" t="n"/>
      <c r="C167" s="2" t="n"/>
      <c r="D167" s="2" t="n"/>
      <c r="E167" s="2" t="n"/>
      <c r="F167" s="2" t="n"/>
      <c r="G167" s="2" t="n"/>
      <c r="H167" s="2" t="n"/>
      <c r="I167" s="2" t="n"/>
      <c r="J167" s="2" t="n"/>
    </row>
    <row r="168" ht="15.75" customHeight="1" s="139">
      <c r="A168" s="2" t="n"/>
      <c r="B168" s="2" t="n"/>
      <c r="C168" s="2" t="n"/>
      <c r="D168" s="2" t="n"/>
      <c r="E168" s="2" t="n"/>
      <c r="F168" s="2" t="n"/>
      <c r="G168" s="2" t="n"/>
      <c r="H168" s="2" t="n"/>
      <c r="I168" s="2" t="n"/>
      <c r="J168" s="2" t="n"/>
    </row>
    <row r="169" ht="15.75" customHeight="1" s="139">
      <c r="A169" s="2" t="n"/>
      <c r="B169" s="2" t="n"/>
      <c r="C169" s="2" t="n"/>
      <c r="D169" s="2" t="n"/>
      <c r="E169" s="2" t="n"/>
      <c r="F169" s="2" t="n"/>
      <c r="G169" s="2" t="n"/>
      <c r="H169" s="2" t="n"/>
      <c r="I169" s="2" t="n"/>
      <c r="J169" s="2" t="n"/>
    </row>
    <row r="170" ht="15.75" customHeight="1" s="139">
      <c r="A170" s="2" t="n"/>
      <c r="B170" s="2" t="n"/>
      <c r="C170" s="2" t="n"/>
      <c r="D170" s="2" t="n"/>
      <c r="E170" s="2" t="n"/>
      <c r="F170" s="2" t="n"/>
      <c r="G170" s="2" t="n"/>
      <c r="H170" s="2" t="n"/>
      <c r="I170" s="2" t="n"/>
      <c r="J170" s="2" t="n"/>
    </row>
    <row r="171" ht="15.75" customHeight="1" s="139">
      <c r="A171" s="2" t="n"/>
      <c r="B171" s="2" t="n"/>
      <c r="C171" s="2" t="n"/>
      <c r="D171" s="2" t="n"/>
      <c r="E171" s="2" t="n"/>
      <c r="F171" s="2" t="n"/>
      <c r="G171" s="2" t="n"/>
      <c r="H171" s="2" t="n"/>
      <c r="I171" s="2" t="n"/>
      <c r="J171" s="2" t="n"/>
    </row>
    <row r="172" ht="15.75" customHeight="1" s="139">
      <c r="A172" s="2" t="n"/>
      <c r="B172" s="2" t="n"/>
      <c r="C172" s="2" t="n"/>
      <c r="D172" s="2" t="n"/>
      <c r="E172" s="2" t="n"/>
      <c r="F172" s="2" t="n"/>
      <c r="G172" s="2" t="n"/>
      <c r="H172" s="2" t="n"/>
      <c r="I172" s="2" t="n"/>
      <c r="J172" s="2" t="n"/>
    </row>
    <row r="173" ht="15.75" customHeight="1" s="139">
      <c r="A173" s="2" t="n"/>
      <c r="B173" s="2" t="n"/>
      <c r="C173" s="2" t="n"/>
      <c r="D173" s="2" t="n"/>
      <c r="E173" s="2" t="n"/>
      <c r="F173" s="2" t="n"/>
      <c r="G173" s="2" t="n"/>
      <c r="H173" s="2" t="n"/>
      <c r="I173" s="2" t="n"/>
      <c r="J173" s="2" t="n"/>
    </row>
    <row r="174" ht="15.75" customHeight="1" s="139">
      <c r="A174" s="2" t="n"/>
      <c r="B174" s="2" t="n"/>
      <c r="C174" s="2" t="n"/>
      <c r="D174" s="2" t="n"/>
      <c r="E174" s="2" t="n"/>
      <c r="F174" s="2" t="n"/>
      <c r="G174" s="2" t="n"/>
      <c r="H174" s="2" t="n"/>
      <c r="I174" s="2" t="n"/>
      <c r="J174" s="2" t="n"/>
    </row>
    <row r="175" ht="15.75" customHeight="1" s="139">
      <c r="A175" s="2" t="n"/>
      <c r="B175" s="2" t="n"/>
      <c r="C175" s="2" t="n"/>
      <c r="D175" s="2" t="n"/>
      <c r="E175" s="2" t="n"/>
      <c r="F175" s="2" t="n"/>
      <c r="G175" s="2" t="n"/>
      <c r="H175" s="2" t="n"/>
      <c r="I175" s="2" t="n"/>
      <c r="J175" s="2" t="n"/>
    </row>
    <row r="176" ht="15.75" customHeight="1" s="139">
      <c r="A176" s="2" t="n"/>
      <c r="B176" s="2" t="n"/>
      <c r="C176" s="2" t="n"/>
      <c r="D176" s="2" t="n"/>
      <c r="E176" s="2" t="n"/>
      <c r="F176" s="2" t="n"/>
      <c r="G176" s="2" t="n"/>
      <c r="H176" s="2" t="n"/>
      <c r="I176" s="2" t="n"/>
      <c r="J176" s="2" t="n"/>
    </row>
    <row r="177" ht="15.75" customHeight="1" s="139">
      <c r="A177" s="2" t="n"/>
      <c r="B177" s="2" t="n"/>
      <c r="C177" s="2" t="n"/>
      <c r="D177" s="2" t="n"/>
      <c r="E177" s="2" t="n"/>
      <c r="F177" s="2" t="n"/>
      <c r="G177" s="2" t="n"/>
      <c r="H177" s="2" t="n"/>
      <c r="I177" s="2" t="n"/>
      <c r="J177" s="2" t="n"/>
    </row>
    <row r="178" ht="15.75" customHeight="1" s="139">
      <c r="A178" s="2" t="n"/>
      <c r="B178" s="2" t="n"/>
      <c r="C178" s="2" t="n"/>
      <c r="D178" s="2" t="n"/>
      <c r="E178" s="2" t="n"/>
      <c r="F178" s="2" t="n"/>
      <c r="G178" s="2" t="n"/>
      <c r="H178" s="2" t="n"/>
      <c r="I178" s="2" t="n"/>
      <c r="J178" s="2" t="n"/>
    </row>
    <row r="179" ht="15.75" customHeight="1" s="139">
      <c r="A179" s="2" t="n"/>
      <c r="B179" s="2" t="n"/>
      <c r="C179" s="2" t="n"/>
      <c r="D179" s="2" t="n"/>
      <c r="E179" s="2" t="n"/>
      <c r="F179" s="2" t="n"/>
      <c r="G179" s="2" t="n"/>
      <c r="H179" s="2" t="n"/>
      <c r="I179" s="2" t="n"/>
      <c r="J179" s="2" t="n"/>
    </row>
    <row r="180" ht="15.75" customHeight="1" s="139">
      <c r="A180" s="2" t="n"/>
      <c r="B180" s="2" t="n"/>
      <c r="C180" s="2" t="n"/>
      <c r="D180" s="2" t="n"/>
      <c r="E180" s="2" t="n"/>
      <c r="F180" s="2" t="n"/>
      <c r="G180" s="2" t="n"/>
      <c r="H180" s="2" t="n"/>
      <c r="I180" s="2" t="n"/>
      <c r="J180" s="2" t="n"/>
    </row>
    <row r="181" ht="15.75" customHeight="1" s="139">
      <c r="A181" s="2" t="n"/>
      <c r="B181" s="2" t="n"/>
      <c r="C181" s="2" t="n"/>
      <c r="D181" s="2" t="n"/>
      <c r="E181" s="2" t="n"/>
      <c r="F181" s="2" t="n"/>
      <c r="G181" s="2" t="n"/>
      <c r="H181" s="2" t="n"/>
      <c r="I181" s="2" t="n"/>
      <c r="J181" s="2" t="n"/>
    </row>
    <row r="182" ht="15.75" customHeight="1" s="139">
      <c r="A182" s="2" t="n"/>
      <c r="B182" s="2" t="n"/>
      <c r="C182" s="2" t="n"/>
      <c r="D182" s="2" t="n"/>
      <c r="E182" s="2" t="n"/>
      <c r="F182" s="2" t="n"/>
      <c r="G182" s="2" t="n"/>
      <c r="H182" s="2" t="n"/>
      <c r="I182" s="2" t="n"/>
      <c r="J182" s="2" t="n"/>
    </row>
    <row r="183" ht="15.75" customHeight="1" s="139">
      <c r="A183" s="2" t="n"/>
      <c r="B183" s="2" t="n"/>
      <c r="C183" s="2" t="n"/>
      <c r="D183" s="2" t="n"/>
      <c r="E183" s="2" t="n"/>
      <c r="F183" s="2" t="n"/>
      <c r="G183" s="2" t="n"/>
      <c r="H183" s="2" t="n"/>
      <c r="I183" s="2" t="n"/>
      <c r="J183" s="2" t="n"/>
    </row>
    <row r="184" ht="15.75" customHeight="1" s="139">
      <c r="A184" s="2" t="n"/>
      <c r="B184" s="2" t="n"/>
      <c r="C184" s="2" t="n"/>
      <c r="D184" s="2" t="n"/>
      <c r="E184" s="2" t="n"/>
      <c r="F184" s="2" t="n"/>
      <c r="G184" s="2" t="n"/>
      <c r="H184" s="2" t="n"/>
      <c r="I184" s="2" t="n"/>
      <c r="J184" s="2" t="n"/>
    </row>
    <row r="185" ht="15.75" customHeight="1" s="139">
      <c r="A185" s="2" t="n"/>
      <c r="B185" s="2" t="n"/>
      <c r="C185" s="2" t="n"/>
      <c r="D185" s="2" t="n"/>
      <c r="E185" s="2" t="n"/>
      <c r="F185" s="2" t="n"/>
      <c r="G185" s="2" t="n"/>
      <c r="H185" s="2" t="n"/>
      <c r="I185" s="2" t="n"/>
      <c r="J185" s="2" t="n"/>
    </row>
    <row r="186" ht="15.75" customHeight="1" s="139">
      <c r="A186" s="2" t="n"/>
      <c r="B186" s="2" t="n"/>
      <c r="C186" s="2" t="n"/>
      <c r="D186" s="2" t="n"/>
      <c r="E186" s="2" t="n"/>
      <c r="F186" s="2" t="n"/>
      <c r="G186" s="2" t="n"/>
      <c r="H186" s="2" t="n"/>
      <c r="I186" s="2" t="n"/>
      <c r="J186" s="2" t="n"/>
    </row>
    <row r="187" ht="15.75" customHeight="1" s="139">
      <c r="A187" s="2" t="n"/>
      <c r="B187" s="2" t="n"/>
      <c r="C187" s="2" t="n"/>
      <c r="D187" s="2" t="n"/>
      <c r="E187" s="2" t="n"/>
      <c r="F187" s="2" t="n"/>
      <c r="G187" s="2" t="n"/>
      <c r="H187" s="2" t="n"/>
      <c r="I187" s="2" t="n"/>
      <c r="J187" s="2" t="n"/>
    </row>
    <row r="188" ht="15.75" customHeight="1" s="139">
      <c r="A188" s="2" t="n"/>
      <c r="B188" s="2" t="n"/>
      <c r="C188" s="2" t="n"/>
      <c r="D188" s="2" t="n"/>
      <c r="E188" s="2" t="n"/>
      <c r="F188" s="2" t="n"/>
      <c r="G188" s="2" t="n"/>
      <c r="H188" s="2" t="n"/>
      <c r="I188" s="2" t="n"/>
      <c r="J188" s="2" t="n"/>
    </row>
    <row r="189" ht="15.75" customHeight="1" s="139">
      <c r="A189" s="2" t="n"/>
      <c r="B189" s="2" t="n"/>
      <c r="C189" s="2" t="n"/>
      <c r="D189" s="2" t="n"/>
      <c r="E189" s="2" t="n"/>
      <c r="F189" s="2" t="n"/>
      <c r="G189" s="2" t="n"/>
      <c r="H189" s="2" t="n"/>
      <c r="I189" s="2" t="n"/>
      <c r="J189" s="2" t="n"/>
    </row>
    <row r="190" ht="15.75" customHeight="1" s="139">
      <c r="A190" s="2" t="n"/>
      <c r="B190" s="2" t="n"/>
      <c r="C190" s="2" t="n"/>
      <c r="D190" s="2" t="n"/>
      <c r="E190" s="2" t="n"/>
      <c r="F190" s="2" t="n"/>
      <c r="G190" s="2" t="n"/>
      <c r="H190" s="2" t="n"/>
      <c r="I190" s="2" t="n"/>
      <c r="J190" s="2" t="n"/>
    </row>
    <row r="191" ht="15.75" customHeight="1" s="139">
      <c r="A191" s="2" t="n"/>
      <c r="B191" s="2" t="n"/>
      <c r="C191" s="2" t="n"/>
      <c r="D191" s="2" t="n"/>
      <c r="E191" s="2" t="n"/>
      <c r="F191" s="2" t="n"/>
      <c r="G191" s="2" t="n"/>
      <c r="H191" s="2" t="n"/>
      <c r="I191" s="2" t="n"/>
      <c r="J191" s="2" t="n"/>
    </row>
    <row r="192" ht="15.75" customHeight="1" s="139">
      <c r="A192" s="2" t="n"/>
      <c r="B192" s="2" t="n"/>
      <c r="C192" s="2" t="n"/>
      <c r="D192" s="2" t="n"/>
      <c r="E192" s="2" t="n"/>
      <c r="F192" s="2" t="n"/>
      <c r="G192" s="2" t="n"/>
      <c r="H192" s="2" t="n"/>
      <c r="I192" s="2" t="n"/>
      <c r="J192" s="2" t="n"/>
    </row>
    <row r="193" ht="15.75" customHeight="1" s="139">
      <c r="A193" s="2" t="n"/>
      <c r="B193" s="2" t="n"/>
      <c r="C193" s="2" t="n"/>
      <c r="D193" s="2" t="n"/>
      <c r="E193" s="2" t="n"/>
      <c r="F193" s="2" t="n"/>
      <c r="G193" s="2" t="n"/>
      <c r="H193" s="2" t="n"/>
      <c r="I193" s="2" t="n"/>
      <c r="J193" s="2" t="n"/>
    </row>
    <row r="194" ht="15.75" customHeight="1" s="139">
      <c r="A194" s="2" t="n"/>
      <c r="B194" s="2" t="n"/>
      <c r="C194" s="2" t="n"/>
      <c r="D194" s="2" t="n"/>
      <c r="E194" s="2" t="n"/>
      <c r="F194" s="2" t="n"/>
      <c r="G194" s="2" t="n"/>
      <c r="H194" s="2" t="n"/>
      <c r="I194" s="2" t="n"/>
      <c r="J194" s="2" t="n"/>
    </row>
    <row r="195" ht="15.75" customHeight="1" s="139">
      <c r="A195" s="2" t="n"/>
      <c r="B195" s="2" t="n"/>
      <c r="C195" s="2" t="n"/>
      <c r="D195" s="2" t="n"/>
      <c r="E195" s="2" t="n"/>
      <c r="F195" s="2" t="n"/>
      <c r="G195" s="2" t="n"/>
      <c r="H195" s="2" t="n"/>
      <c r="I195" s="2" t="n"/>
      <c r="J195" s="2" t="n"/>
    </row>
    <row r="196" ht="15.75" customHeight="1" s="139">
      <c r="A196" s="2" t="n"/>
      <c r="B196" s="2" t="n"/>
      <c r="C196" s="2" t="n"/>
      <c r="D196" s="2" t="n"/>
      <c r="E196" s="2" t="n"/>
      <c r="F196" s="2" t="n"/>
      <c r="G196" s="2" t="n"/>
      <c r="H196" s="2" t="n"/>
      <c r="I196" s="2" t="n"/>
      <c r="J196" s="2" t="n"/>
    </row>
    <row r="197" ht="15.75" customHeight="1" s="139">
      <c r="A197" s="2" t="n"/>
      <c r="B197" s="2" t="n"/>
      <c r="C197" s="2" t="n"/>
      <c r="D197" s="2" t="n"/>
      <c r="E197" s="2" t="n"/>
      <c r="F197" s="2" t="n"/>
      <c r="G197" s="2" t="n"/>
      <c r="H197" s="2" t="n"/>
      <c r="I197" s="2" t="n"/>
      <c r="J197" s="2" t="n"/>
    </row>
    <row r="198" ht="15.75" customHeight="1" s="139">
      <c r="A198" s="2" t="n"/>
      <c r="B198" s="2" t="n"/>
      <c r="C198" s="2" t="n"/>
      <c r="D198" s="2" t="n"/>
      <c r="E198" s="2" t="n"/>
      <c r="F198" s="2" t="n"/>
      <c r="G198" s="2" t="n"/>
      <c r="H198" s="2" t="n"/>
      <c r="I198" s="2" t="n"/>
      <c r="J198" s="2" t="n"/>
    </row>
    <row r="199" ht="15.75" customHeight="1" s="139">
      <c r="A199" s="2" t="n"/>
      <c r="B199" s="2" t="n"/>
      <c r="C199" s="2" t="n"/>
      <c r="D199" s="2" t="n"/>
      <c r="E199" s="2" t="n"/>
      <c r="F199" s="2" t="n"/>
      <c r="G199" s="2" t="n"/>
      <c r="H199" s="2" t="n"/>
      <c r="I199" s="2" t="n"/>
      <c r="J199" s="2" t="n"/>
    </row>
    <row r="200" ht="15.75" customHeight="1" s="139">
      <c r="A200" s="2" t="n"/>
      <c r="B200" s="2" t="n"/>
      <c r="C200" s="2" t="n"/>
      <c r="D200" s="2" t="n"/>
      <c r="E200" s="2" t="n"/>
      <c r="F200" s="2" t="n"/>
      <c r="G200" s="2" t="n"/>
      <c r="H200" s="2" t="n"/>
      <c r="I200" s="2" t="n"/>
      <c r="J200" s="2" t="n"/>
    </row>
    <row r="201" ht="15.75" customHeight="1" s="139">
      <c r="A201" s="2" t="n"/>
      <c r="B201" s="2" t="n"/>
      <c r="C201" s="2" t="n"/>
      <c r="D201" s="2" t="n"/>
      <c r="E201" s="2" t="n"/>
      <c r="F201" s="2" t="n"/>
      <c r="G201" s="2" t="n"/>
      <c r="H201" s="2" t="n"/>
      <c r="I201" s="2" t="n"/>
      <c r="J201" s="2" t="n"/>
    </row>
    <row r="202" ht="15.75" customHeight="1" s="139">
      <c r="A202" s="2" t="n"/>
      <c r="B202" s="2" t="n"/>
      <c r="C202" s="2" t="n"/>
      <c r="D202" s="2" t="n"/>
      <c r="E202" s="2" t="n"/>
      <c r="F202" s="2" t="n"/>
      <c r="G202" s="2" t="n"/>
      <c r="H202" s="2" t="n"/>
      <c r="I202" s="2" t="n"/>
      <c r="J202" s="2" t="n"/>
    </row>
    <row r="203" ht="15.75" customHeight="1" s="139">
      <c r="A203" s="2" t="n"/>
      <c r="B203" s="2" t="n"/>
      <c r="C203" s="2" t="n"/>
      <c r="D203" s="2" t="n"/>
      <c r="E203" s="2" t="n"/>
      <c r="F203" s="2" t="n"/>
      <c r="G203" s="2" t="n"/>
      <c r="H203" s="2" t="n"/>
      <c r="I203" s="2" t="n"/>
      <c r="J203" s="2" t="n"/>
    </row>
    <row r="204" ht="15.75" customHeight="1" s="139">
      <c r="A204" s="2" t="n"/>
      <c r="B204" s="2" t="n"/>
      <c r="C204" s="2" t="n"/>
      <c r="D204" s="2" t="n"/>
      <c r="E204" s="2" t="n"/>
      <c r="F204" s="2" t="n"/>
      <c r="G204" s="2" t="n"/>
      <c r="H204" s="2" t="n"/>
      <c r="I204" s="2" t="n"/>
      <c r="J204" s="2" t="n"/>
    </row>
    <row r="205" ht="15.75" customHeight="1" s="139">
      <c r="A205" s="2" t="n"/>
      <c r="B205" s="2" t="n"/>
      <c r="C205" s="2" t="n"/>
      <c r="D205" s="2" t="n"/>
      <c r="E205" s="2" t="n"/>
      <c r="F205" s="2" t="n"/>
      <c r="G205" s="2" t="n"/>
      <c r="H205" s="2" t="n"/>
      <c r="I205" s="2" t="n"/>
      <c r="J205" s="2" t="n"/>
    </row>
    <row r="206" ht="15.75" customHeight="1" s="139">
      <c r="A206" s="2" t="n"/>
      <c r="B206" s="2" t="n"/>
      <c r="C206" s="2" t="n"/>
      <c r="D206" s="2" t="n"/>
      <c r="E206" s="2" t="n"/>
      <c r="F206" s="2" t="n"/>
      <c r="G206" s="2" t="n"/>
      <c r="H206" s="2" t="n"/>
      <c r="I206" s="2" t="n"/>
      <c r="J206" s="2" t="n"/>
    </row>
    <row r="207" ht="15.75" customHeight="1" s="139">
      <c r="A207" s="2" t="n"/>
      <c r="B207" s="2" t="n"/>
      <c r="C207" s="2" t="n"/>
      <c r="D207" s="2" t="n"/>
      <c r="E207" s="2" t="n"/>
      <c r="F207" s="2" t="n"/>
      <c r="G207" s="2" t="n"/>
      <c r="H207" s="2" t="n"/>
      <c r="I207" s="2" t="n"/>
      <c r="J207" s="2" t="n"/>
    </row>
    <row r="208" ht="15.75" customHeight="1" s="139">
      <c r="A208" s="2" t="n"/>
      <c r="B208" s="2" t="n"/>
      <c r="C208" s="2" t="n"/>
      <c r="D208" s="2" t="n"/>
      <c r="E208" s="2" t="n"/>
      <c r="F208" s="2" t="n"/>
      <c r="G208" s="2" t="n"/>
      <c r="H208" s="2" t="n"/>
      <c r="I208" s="2" t="n"/>
      <c r="J208" s="2" t="n"/>
    </row>
    <row r="209" ht="15.75" customHeight="1" s="139">
      <c r="A209" s="2" t="n"/>
      <c r="B209" s="2" t="n"/>
      <c r="C209" s="2" t="n"/>
      <c r="D209" s="2" t="n"/>
      <c r="E209" s="2" t="n"/>
      <c r="F209" s="2" t="n"/>
      <c r="G209" s="2" t="n"/>
      <c r="H209" s="2" t="n"/>
      <c r="I209" s="2" t="n"/>
      <c r="J209" s="2" t="n"/>
    </row>
    <row r="210" ht="15.75" customHeight="1" s="139">
      <c r="A210" s="2" t="n"/>
      <c r="B210" s="2" t="n"/>
      <c r="C210" s="2" t="n"/>
      <c r="D210" s="2" t="n"/>
      <c r="E210" s="2" t="n"/>
      <c r="F210" s="2" t="n"/>
      <c r="G210" s="2" t="n"/>
      <c r="H210" s="2" t="n"/>
      <c r="I210" s="2" t="n"/>
      <c r="J210" s="2" t="n"/>
    </row>
    <row r="211" ht="15.75" customHeight="1" s="139">
      <c r="A211" s="2" t="n"/>
      <c r="B211" s="2" t="n"/>
      <c r="C211" s="2" t="n"/>
      <c r="D211" s="2" t="n"/>
      <c r="E211" s="2" t="n"/>
      <c r="F211" s="2" t="n"/>
      <c r="G211" s="2" t="n"/>
      <c r="H211" s="2" t="n"/>
      <c r="I211" s="2" t="n"/>
      <c r="J211" s="2" t="n"/>
    </row>
    <row r="212" ht="15.75" customHeight="1" s="139">
      <c r="A212" s="2" t="n"/>
      <c r="B212" s="2" t="n"/>
      <c r="C212" s="2" t="n"/>
      <c r="D212" s="2" t="n"/>
      <c r="E212" s="2" t="n"/>
      <c r="F212" s="2" t="n"/>
      <c r="G212" s="2" t="n"/>
      <c r="H212" s="2" t="n"/>
      <c r="I212" s="2" t="n"/>
      <c r="J212" s="2" t="n"/>
    </row>
    <row r="213" ht="15.75" customHeight="1" s="139">
      <c r="A213" s="2" t="n"/>
      <c r="B213" s="2" t="n"/>
      <c r="C213" s="2" t="n"/>
      <c r="D213" s="2" t="n"/>
      <c r="E213" s="2" t="n"/>
      <c r="F213" s="2" t="n"/>
      <c r="G213" s="2" t="n"/>
      <c r="H213" s="2" t="n"/>
      <c r="I213" s="2" t="n"/>
      <c r="J213" s="2" t="n"/>
    </row>
    <row r="214" ht="15.75" customHeight="1" s="139">
      <c r="A214" s="2" t="n"/>
      <c r="B214" s="2" t="n"/>
      <c r="C214" s="2" t="n"/>
      <c r="D214" s="2" t="n"/>
      <c r="E214" s="2" t="n"/>
      <c r="F214" s="2" t="n"/>
      <c r="G214" s="2" t="n"/>
      <c r="H214" s="2" t="n"/>
      <c r="I214" s="2" t="n"/>
      <c r="J214" s="2" t="n"/>
    </row>
    <row r="215" ht="15.75" customHeight="1" s="139">
      <c r="A215" s="2" t="n"/>
      <c r="B215" s="2" t="n"/>
      <c r="C215" s="2" t="n"/>
      <c r="D215" s="2" t="n"/>
      <c r="E215" s="2" t="n"/>
      <c r="F215" s="2" t="n"/>
      <c r="G215" s="2" t="n"/>
      <c r="H215" s="2" t="n"/>
      <c r="I215" s="2" t="n"/>
      <c r="J215" s="2" t="n"/>
    </row>
    <row r="216" ht="15.75" customHeight="1" s="139">
      <c r="A216" s="2" t="n"/>
      <c r="B216" s="2" t="n"/>
      <c r="C216" s="2" t="n"/>
      <c r="D216" s="2" t="n"/>
      <c r="E216" s="2" t="n"/>
      <c r="F216" s="2" t="n"/>
      <c r="G216" s="2" t="n"/>
      <c r="H216" s="2" t="n"/>
      <c r="I216" s="2" t="n"/>
      <c r="J216" s="2" t="n"/>
    </row>
    <row r="217" ht="15.75" customHeight="1" s="139">
      <c r="A217" s="2" t="n"/>
      <c r="B217" s="2" t="n"/>
      <c r="C217" s="2" t="n"/>
      <c r="D217" s="2" t="n"/>
      <c r="E217" s="2" t="n"/>
      <c r="F217" s="2" t="n"/>
      <c r="G217" s="2" t="n"/>
      <c r="H217" s="2" t="n"/>
      <c r="I217" s="2" t="n"/>
      <c r="J217" s="2" t="n"/>
    </row>
    <row r="218" ht="15.75" customHeight="1" s="139">
      <c r="A218" s="2" t="n"/>
      <c r="B218" s="2" t="n"/>
      <c r="C218" s="2" t="n"/>
      <c r="D218" s="2" t="n"/>
      <c r="E218" s="2" t="n"/>
      <c r="F218" s="2" t="n"/>
      <c r="G218" s="2" t="n"/>
      <c r="H218" s="2" t="n"/>
      <c r="I218" s="2" t="n"/>
      <c r="J218" s="2" t="n"/>
    </row>
    <row r="219" ht="15.75" customHeight="1" s="139">
      <c r="A219" s="2" t="n"/>
      <c r="B219" s="2" t="n"/>
      <c r="C219" s="2" t="n"/>
      <c r="D219" s="2" t="n"/>
      <c r="E219" s="2" t="n"/>
      <c r="F219" s="2" t="n"/>
      <c r="G219" s="2" t="n"/>
      <c r="H219" s="2" t="n"/>
      <c r="I219" s="2" t="n"/>
      <c r="J219" s="2" t="n"/>
    </row>
    <row r="220" ht="15.75" customHeight="1" s="139">
      <c r="A220" s="2" t="n"/>
      <c r="B220" s="2" t="n"/>
      <c r="C220" s="2" t="n"/>
      <c r="D220" s="2" t="n"/>
      <c r="E220" s="2" t="n"/>
      <c r="F220" s="2" t="n"/>
      <c r="G220" s="2" t="n"/>
      <c r="H220" s="2" t="n"/>
      <c r="I220" s="2" t="n"/>
      <c r="J220" s="2" t="n"/>
    </row>
    <row r="221" ht="15.75" customHeight="1" s="139">
      <c r="A221" s="2" t="n"/>
      <c r="B221" s="2" t="n"/>
      <c r="C221" s="2" t="n"/>
      <c r="D221" s="2" t="n"/>
      <c r="E221" s="2" t="n"/>
      <c r="F221" s="2" t="n"/>
      <c r="G221" s="2" t="n"/>
      <c r="H221" s="2" t="n"/>
      <c r="I221" s="2" t="n"/>
      <c r="J221" s="2" t="n"/>
    </row>
    <row r="222" ht="15.75" customHeight="1" s="139">
      <c r="A222" s="2" t="n"/>
      <c r="B222" s="2" t="n"/>
      <c r="C222" s="2" t="n"/>
      <c r="D222" s="2" t="n"/>
      <c r="E222" s="2" t="n"/>
      <c r="F222" s="2" t="n"/>
      <c r="G222" s="2" t="n"/>
      <c r="H222" s="2" t="n"/>
      <c r="I222" s="2" t="n"/>
      <c r="J222" s="2" t="n"/>
    </row>
    <row r="223" ht="15.75" customHeight="1" s="139">
      <c r="A223" s="2" t="n"/>
      <c r="B223" s="2" t="n"/>
      <c r="C223" s="2" t="n"/>
      <c r="D223" s="2" t="n"/>
      <c r="E223" s="2" t="n"/>
      <c r="F223" s="2" t="n"/>
      <c r="G223" s="2" t="n"/>
      <c r="H223" s="2" t="n"/>
      <c r="I223" s="2" t="n"/>
      <c r="J223" s="2" t="n"/>
    </row>
    <row r="224" ht="15.75" customHeight="1" s="139">
      <c r="A224" s="2" t="n"/>
      <c r="B224" s="2" t="n"/>
      <c r="C224" s="2" t="n"/>
      <c r="D224" s="2" t="n"/>
      <c r="E224" s="2" t="n"/>
      <c r="F224" s="2" t="n"/>
      <c r="G224" s="2" t="n"/>
      <c r="H224" s="2" t="n"/>
      <c r="I224" s="2" t="n"/>
      <c r="J224" s="2" t="n"/>
    </row>
    <row r="225" ht="15.75" customHeight="1" s="139">
      <c r="A225" s="2" t="n"/>
      <c r="B225" s="2" t="n"/>
      <c r="C225" s="2" t="n"/>
      <c r="D225" s="2" t="n"/>
      <c r="E225" s="2" t="n"/>
      <c r="F225" s="2" t="n"/>
      <c r="G225" s="2" t="n"/>
      <c r="H225" s="2" t="n"/>
      <c r="I225" s="2" t="n"/>
      <c r="J225" s="2" t="n"/>
    </row>
    <row r="226" ht="15.75" customHeight="1" s="139">
      <c r="A226" s="2" t="n"/>
      <c r="B226" s="2" t="n"/>
      <c r="C226" s="2" t="n"/>
      <c r="D226" s="2" t="n"/>
      <c r="E226" s="2" t="n"/>
      <c r="F226" s="2" t="n"/>
      <c r="G226" s="2" t="n"/>
      <c r="H226" s="2" t="n"/>
      <c r="I226" s="2" t="n"/>
      <c r="J226" s="2" t="n"/>
    </row>
    <row r="227" ht="15.75" customHeight="1" s="139">
      <c r="A227" s="2" t="n"/>
      <c r="B227" s="2" t="n"/>
      <c r="C227" s="2" t="n"/>
      <c r="D227" s="2" t="n"/>
      <c r="E227" s="2" t="n"/>
      <c r="F227" s="2" t="n"/>
      <c r="G227" s="2" t="n"/>
      <c r="H227" s="2" t="n"/>
      <c r="I227" s="2" t="n"/>
      <c r="J227" s="2" t="n"/>
    </row>
    <row r="228" ht="15.75" customHeight="1" s="139">
      <c r="A228" s="2" t="n"/>
      <c r="B228" s="2" t="n"/>
      <c r="C228" s="2" t="n"/>
      <c r="D228" s="2" t="n"/>
      <c r="E228" s="2" t="n"/>
      <c r="F228" s="2" t="n"/>
      <c r="G228" s="2" t="n"/>
      <c r="H228" s="2" t="n"/>
      <c r="I228" s="2" t="n"/>
      <c r="J228" s="2" t="n"/>
    </row>
    <row r="229" ht="15.75" customHeight="1" s="139">
      <c r="A229" s="2" t="n"/>
      <c r="B229" s="2" t="n"/>
      <c r="C229" s="2" t="n"/>
      <c r="D229" s="2" t="n"/>
      <c r="E229" s="2" t="n"/>
      <c r="F229" s="2" t="n"/>
      <c r="G229" s="2" t="n"/>
      <c r="H229" s="2" t="n"/>
      <c r="I229" s="2" t="n"/>
      <c r="J229" s="2" t="n"/>
    </row>
    <row r="230" ht="15.75" customHeight="1" s="139">
      <c r="A230" s="2" t="n"/>
      <c r="B230" s="2" t="n"/>
      <c r="C230" s="2" t="n"/>
      <c r="D230" s="2" t="n"/>
      <c r="E230" s="2" t="n"/>
      <c r="F230" s="2" t="n"/>
      <c r="G230" s="2" t="n"/>
      <c r="H230" s="2" t="n"/>
      <c r="I230" s="2" t="n"/>
      <c r="J230" s="2" t="n"/>
    </row>
    <row r="231" ht="15.75" customHeight="1" s="139">
      <c r="A231" s="2" t="n"/>
      <c r="B231" s="2" t="n"/>
      <c r="C231" s="2" t="n"/>
      <c r="D231" s="2" t="n"/>
      <c r="E231" s="2" t="n"/>
      <c r="F231" s="2" t="n"/>
      <c r="G231" s="2" t="n"/>
      <c r="H231" s="2" t="n"/>
      <c r="I231" s="2" t="n"/>
      <c r="J231" s="2" t="n"/>
    </row>
    <row r="232" ht="15.75" customHeight="1" s="139">
      <c r="A232" s="2" t="n"/>
      <c r="B232" s="2" t="n"/>
      <c r="C232" s="2" t="n"/>
      <c r="D232" s="2" t="n"/>
      <c r="E232" s="2" t="n"/>
      <c r="F232" s="2" t="n"/>
      <c r="G232" s="2" t="n"/>
      <c r="H232" s="2" t="n"/>
      <c r="I232" s="2" t="n"/>
      <c r="J232" s="2" t="n"/>
    </row>
    <row r="233" ht="15.75" customHeight="1" s="139">
      <c r="A233" s="2" t="n"/>
      <c r="B233" s="2" t="n"/>
      <c r="C233" s="2" t="n"/>
      <c r="D233" s="2" t="n"/>
      <c r="E233" s="2" t="n"/>
      <c r="F233" s="2" t="n"/>
      <c r="G233" s="2" t="n"/>
      <c r="H233" s="2" t="n"/>
      <c r="I233" s="2" t="n"/>
      <c r="J233" s="2" t="n"/>
    </row>
    <row r="234" ht="15.75" customHeight="1" s="139">
      <c r="A234" s="2" t="n"/>
      <c r="B234" s="2" t="n"/>
      <c r="C234" s="2" t="n"/>
      <c r="D234" s="2" t="n"/>
      <c r="E234" s="2" t="n"/>
      <c r="F234" s="2" t="n"/>
      <c r="G234" s="2" t="n"/>
      <c r="H234" s="2" t="n"/>
      <c r="I234" s="2" t="n"/>
      <c r="J234" s="2" t="n"/>
    </row>
    <row r="235" ht="15.75" customHeight="1" s="139">
      <c r="A235" s="2" t="n"/>
      <c r="B235" s="2" t="n"/>
      <c r="C235" s="2" t="n"/>
      <c r="D235" s="2" t="n"/>
      <c r="E235" s="2" t="n"/>
      <c r="F235" s="2" t="n"/>
      <c r="G235" s="2" t="n"/>
      <c r="H235" s="2" t="n"/>
      <c r="I235" s="2" t="n"/>
      <c r="J235" s="2" t="n"/>
    </row>
    <row r="236" ht="15.75" customHeight="1" s="139">
      <c r="A236" s="2" t="n"/>
      <c r="B236" s="2" t="n"/>
      <c r="C236" s="2" t="n"/>
      <c r="D236" s="2" t="n"/>
      <c r="E236" s="2" t="n"/>
      <c r="F236" s="2" t="n"/>
      <c r="G236" s="2" t="n"/>
      <c r="H236" s="2" t="n"/>
      <c r="I236" s="2" t="n"/>
      <c r="J236" s="2" t="n"/>
    </row>
    <row r="237" ht="15.75" customHeight="1" s="139">
      <c r="A237" s="2" t="n"/>
      <c r="B237" s="2" t="n"/>
      <c r="C237" s="2" t="n"/>
      <c r="D237" s="2" t="n"/>
      <c r="E237" s="2" t="n"/>
      <c r="F237" s="2" t="n"/>
      <c r="G237" s="2" t="n"/>
      <c r="H237" s="2" t="n"/>
      <c r="I237" s="2" t="n"/>
      <c r="J237" s="2" t="n"/>
    </row>
    <row r="238" ht="15.75" customHeight="1" s="139">
      <c r="A238" s="2" t="n"/>
      <c r="B238" s="2" t="n"/>
      <c r="C238" s="2" t="n"/>
      <c r="D238" s="2" t="n"/>
      <c r="E238" s="2" t="n"/>
      <c r="F238" s="2" t="n"/>
      <c r="G238" s="2" t="n"/>
      <c r="H238" s="2" t="n"/>
      <c r="I238" s="2" t="n"/>
      <c r="J238" s="2" t="n"/>
    </row>
    <row r="239" ht="15.75" customHeight="1" s="139">
      <c r="A239" s="2" t="n"/>
      <c r="B239" s="2" t="n"/>
      <c r="C239" s="2" t="n"/>
      <c r="D239" s="2" t="n"/>
      <c r="E239" s="2" t="n"/>
      <c r="F239" s="2" t="n"/>
      <c r="G239" s="2" t="n"/>
      <c r="H239" s="2" t="n"/>
      <c r="I239" s="2" t="n"/>
      <c r="J239" s="2" t="n"/>
    </row>
    <row r="240" ht="15.75" customHeight="1" s="139">
      <c r="A240" s="2" t="n"/>
      <c r="B240" s="2" t="n"/>
      <c r="C240" s="2" t="n"/>
      <c r="D240" s="2" t="n"/>
      <c r="E240" s="2" t="n"/>
      <c r="F240" s="2" t="n"/>
      <c r="G240" s="2" t="n"/>
      <c r="H240" s="2" t="n"/>
      <c r="I240" s="2" t="n"/>
      <c r="J240" s="2" t="n"/>
    </row>
    <row r="241" ht="15.75" customHeight="1" s="139">
      <c r="A241" s="2" t="n"/>
      <c r="B241" s="2" t="n"/>
      <c r="C241" s="2" t="n"/>
      <c r="D241" s="2" t="n"/>
      <c r="E241" s="2" t="n"/>
      <c r="F241" s="2" t="n"/>
      <c r="G241" s="2" t="n"/>
      <c r="H241" s="2" t="n"/>
      <c r="I241" s="2" t="n"/>
      <c r="J241" s="2" t="n"/>
    </row>
    <row r="242" ht="15.75" customHeight="1" s="139">
      <c r="A242" s="2" t="n"/>
      <c r="B242" s="2" t="n"/>
      <c r="C242" s="2" t="n"/>
      <c r="D242" s="2" t="n"/>
      <c r="E242" s="2" t="n"/>
      <c r="F242" s="2" t="n"/>
      <c r="G242" s="2" t="n"/>
      <c r="H242" s="2" t="n"/>
      <c r="I242" s="2" t="n"/>
      <c r="J242" s="2" t="n"/>
    </row>
    <row r="243" ht="15.75" customHeight="1" s="139">
      <c r="A243" s="2" t="n"/>
      <c r="B243" s="2" t="n"/>
      <c r="C243" s="2" t="n"/>
      <c r="D243" s="2" t="n"/>
      <c r="E243" s="2" t="n"/>
      <c r="F243" s="2" t="n"/>
      <c r="G243" s="2" t="n"/>
      <c r="H243" s="2" t="n"/>
      <c r="I243" s="2" t="n"/>
      <c r="J243" s="2" t="n"/>
    </row>
    <row r="244" ht="15.75" customHeight="1" s="139">
      <c r="A244" s="2" t="n"/>
      <c r="B244" s="2" t="n"/>
      <c r="C244" s="2" t="n"/>
      <c r="D244" s="2" t="n"/>
      <c r="E244" s="2" t="n"/>
      <c r="F244" s="2" t="n"/>
      <c r="G244" s="2" t="n"/>
      <c r="H244" s="2" t="n"/>
      <c r="I244" s="2" t="n"/>
      <c r="J244" s="2" t="n"/>
    </row>
    <row r="245" ht="15.75" customHeight="1" s="139">
      <c r="A245" s="2" t="n"/>
      <c r="B245" s="2" t="n"/>
      <c r="C245" s="2" t="n"/>
      <c r="D245" s="2" t="n"/>
      <c r="E245" s="2" t="n"/>
      <c r="F245" s="2" t="n"/>
      <c r="G245" s="2" t="n"/>
      <c r="H245" s="2" t="n"/>
      <c r="I245" s="2" t="n"/>
      <c r="J245" s="2" t="n"/>
    </row>
    <row r="246" ht="15.75" customHeight="1" s="139">
      <c r="A246" s="2" t="n"/>
      <c r="B246" s="2" t="n"/>
      <c r="C246" s="2" t="n"/>
      <c r="D246" s="2" t="n"/>
      <c r="E246" s="2" t="n"/>
      <c r="F246" s="2" t="n"/>
      <c r="G246" s="2" t="n"/>
      <c r="H246" s="2" t="n"/>
      <c r="I246" s="2" t="n"/>
      <c r="J246" s="2" t="n"/>
    </row>
    <row r="247" ht="15.75" customHeight="1" s="139">
      <c r="A247" s="2" t="n"/>
      <c r="B247" s="2" t="n"/>
      <c r="C247" s="2" t="n"/>
      <c r="D247" s="2" t="n"/>
      <c r="E247" s="2" t="n"/>
      <c r="F247" s="2" t="n"/>
      <c r="G247" s="2" t="n"/>
      <c r="H247" s="2" t="n"/>
      <c r="I247" s="2" t="n"/>
      <c r="J247" s="2" t="n"/>
    </row>
    <row r="248" ht="15.75" customHeight="1" s="139">
      <c r="A248" s="2" t="n"/>
      <c r="B248" s="2" t="n"/>
      <c r="C248" s="2" t="n"/>
      <c r="D248" s="2" t="n"/>
      <c r="E248" s="2" t="n"/>
      <c r="F248" s="2" t="n"/>
      <c r="G248" s="2" t="n"/>
      <c r="H248" s="2" t="n"/>
      <c r="I248" s="2" t="n"/>
      <c r="J248" s="2" t="n"/>
    </row>
    <row r="249" ht="15.75" customHeight="1" s="139">
      <c r="A249" s="2" t="n"/>
      <c r="B249" s="2" t="n"/>
      <c r="C249" s="2" t="n"/>
      <c r="D249" s="2" t="n"/>
      <c r="E249" s="2" t="n"/>
      <c r="F249" s="2" t="n"/>
      <c r="G249" s="2" t="n"/>
      <c r="H249" s="2" t="n"/>
      <c r="I249" s="2" t="n"/>
      <c r="J249" s="2" t="n"/>
    </row>
    <row r="250" ht="15.75" customHeight="1" s="139">
      <c r="A250" s="2" t="n"/>
      <c r="B250" s="2" t="n"/>
      <c r="C250" s="2" t="n"/>
      <c r="D250" s="2" t="n"/>
      <c r="E250" s="2" t="n"/>
      <c r="F250" s="2" t="n"/>
      <c r="G250" s="2" t="n"/>
      <c r="H250" s="2" t="n"/>
      <c r="I250" s="2" t="n"/>
      <c r="J250" s="2" t="n"/>
    </row>
    <row r="251" ht="15.75" customHeight="1" s="139">
      <c r="A251" s="2" t="n"/>
      <c r="B251" s="2" t="n"/>
      <c r="C251" s="2" t="n"/>
      <c r="D251" s="2" t="n"/>
      <c r="E251" s="2" t="n"/>
      <c r="F251" s="2" t="n"/>
      <c r="G251" s="2" t="n"/>
      <c r="H251" s="2" t="n"/>
      <c r="I251" s="2" t="n"/>
      <c r="J251" s="2" t="n"/>
    </row>
    <row r="252" ht="15.75" customHeight="1" s="139">
      <c r="A252" s="2" t="n"/>
      <c r="B252" s="2" t="n"/>
      <c r="C252" s="2" t="n"/>
      <c r="D252" s="2" t="n"/>
      <c r="E252" s="2" t="n"/>
      <c r="F252" s="2" t="n"/>
      <c r="G252" s="2" t="n"/>
      <c r="H252" s="2" t="n"/>
      <c r="I252" s="2" t="n"/>
      <c r="J252" s="2" t="n"/>
    </row>
    <row r="253" ht="15.75" customHeight="1" s="139">
      <c r="A253" s="2" t="n"/>
      <c r="B253" s="2" t="n"/>
      <c r="C253" s="2" t="n"/>
      <c r="D253" s="2" t="n"/>
      <c r="E253" s="2" t="n"/>
      <c r="F253" s="2" t="n"/>
      <c r="G253" s="2" t="n"/>
      <c r="H253" s="2" t="n"/>
      <c r="I253" s="2" t="n"/>
      <c r="J253" s="2" t="n"/>
    </row>
    <row r="254" ht="15.75" customHeight="1" s="139">
      <c r="A254" s="2" t="n"/>
      <c r="B254" s="2" t="n"/>
      <c r="C254" s="2" t="n"/>
      <c r="D254" s="2" t="n"/>
      <c r="E254" s="2" t="n"/>
      <c r="F254" s="2" t="n"/>
      <c r="G254" s="2" t="n"/>
      <c r="H254" s="2" t="n"/>
      <c r="I254" s="2" t="n"/>
      <c r="J254" s="2" t="n"/>
    </row>
    <row r="255" ht="15.75" customHeight="1" s="139">
      <c r="A255" s="2" t="n"/>
      <c r="B255" s="2" t="n"/>
      <c r="C255" s="2" t="n"/>
      <c r="D255" s="2" t="n"/>
      <c r="E255" s="2" t="n"/>
      <c r="F255" s="2" t="n"/>
      <c r="G255" s="2" t="n"/>
      <c r="H255" s="2" t="n"/>
      <c r="I255" s="2" t="n"/>
      <c r="J255" s="2" t="n"/>
    </row>
    <row r="256" ht="15.75" customHeight="1" s="139">
      <c r="A256" s="2" t="n"/>
      <c r="B256" s="2" t="n"/>
      <c r="C256" s="2" t="n"/>
      <c r="D256" s="2" t="n"/>
      <c r="E256" s="2" t="n"/>
      <c r="F256" s="2" t="n"/>
      <c r="G256" s="2" t="n"/>
      <c r="H256" s="2" t="n"/>
      <c r="I256" s="2" t="n"/>
      <c r="J256" s="2" t="n"/>
    </row>
    <row r="257" ht="15.75" customHeight="1" s="139">
      <c r="A257" s="2" t="n"/>
      <c r="B257" s="2" t="n"/>
      <c r="C257" s="2" t="n"/>
      <c r="D257" s="2" t="n"/>
      <c r="E257" s="2" t="n"/>
      <c r="F257" s="2" t="n"/>
      <c r="G257" s="2" t="n"/>
      <c r="H257" s="2" t="n"/>
      <c r="I257" s="2" t="n"/>
      <c r="J257" s="2" t="n"/>
    </row>
    <row r="258" ht="15.75" customHeight="1" s="139">
      <c r="A258" s="2" t="n"/>
      <c r="B258" s="2" t="n"/>
      <c r="C258" s="2" t="n"/>
      <c r="D258" s="2" t="n"/>
      <c r="E258" s="2" t="n"/>
      <c r="F258" s="2" t="n"/>
      <c r="G258" s="2" t="n"/>
      <c r="H258" s="2" t="n"/>
      <c r="I258" s="2" t="n"/>
      <c r="J258" s="2" t="n"/>
    </row>
    <row r="259" ht="15.75" customHeight="1" s="139">
      <c r="A259" s="2" t="n"/>
      <c r="B259" s="2" t="n"/>
      <c r="C259" s="2" t="n"/>
      <c r="D259" s="2" t="n"/>
      <c r="E259" s="2" t="n"/>
      <c r="F259" s="2" t="n"/>
      <c r="G259" s="2" t="n"/>
      <c r="H259" s="2" t="n"/>
      <c r="I259" s="2" t="n"/>
      <c r="J259" s="2" t="n"/>
    </row>
    <row r="260" ht="15.75" customHeight="1" s="139">
      <c r="A260" s="2" t="n"/>
      <c r="B260" s="2" t="n"/>
      <c r="C260" s="2" t="n"/>
      <c r="D260" s="2" t="n"/>
      <c r="E260" s="2" t="n"/>
      <c r="F260" s="2" t="n"/>
      <c r="G260" s="2" t="n"/>
      <c r="H260" s="2" t="n"/>
      <c r="I260" s="2" t="n"/>
      <c r="J260" s="2" t="n"/>
    </row>
    <row r="261" ht="15.75" customHeight="1" s="139">
      <c r="A261" s="2" t="n"/>
      <c r="B261" s="2" t="n"/>
      <c r="C261" s="2" t="n"/>
      <c r="D261" s="2" t="n"/>
      <c r="E261" s="2" t="n"/>
      <c r="F261" s="2" t="n"/>
      <c r="G261" s="2" t="n"/>
      <c r="H261" s="2" t="n"/>
      <c r="I261" s="2" t="n"/>
      <c r="J261" s="2" t="n"/>
    </row>
    <row r="262" ht="15.75" customHeight="1" s="139">
      <c r="A262" s="2" t="n"/>
      <c r="B262" s="2" t="n"/>
      <c r="C262" s="2" t="n"/>
      <c r="D262" s="2" t="n"/>
      <c r="E262" s="2" t="n"/>
      <c r="F262" s="2" t="n"/>
      <c r="G262" s="2" t="n"/>
      <c r="H262" s="2" t="n"/>
      <c r="I262" s="2" t="n"/>
      <c r="J262" s="2" t="n"/>
    </row>
    <row r="263" ht="15.75" customHeight="1" s="139">
      <c r="A263" s="2" t="n"/>
      <c r="B263" s="2" t="n"/>
      <c r="C263" s="2" t="n"/>
      <c r="D263" s="2" t="n"/>
      <c r="E263" s="2" t="n"/>
      <c r="F263" s="2" t="n"/>
      <c r="G263" s="2" t="n"/>
      <c r="H263" s="2" t="n"/>
      <c r="I263" s="2" t="n"/>
      <c r="J263" s="2" t="n"/>
    </row>
    <row r="264" ht="15.75" customHeight="1" s="139">
      <c r="A264" s="2" t="n"/>
      <c r="B264" s="2" t="n"/>
      <c r="C264" s="2" t="n"/>
      <c r="D264" s="2" t="n"/>
      <c r="E264" s="2" t="n"/>
      <c r="F264" s="2" t="n"/>
      <c r="G264" s="2" t="n"/>
      <c r="H264" s="2" t="n"/>
      <c r="I264" s="2" t="n"/>
      <c r="J264" s="2" t="n"/>
    </row>
    <row r="265" ht="15.75" customHeight="1" s="139">
      <c r="A265" s="2" t="n"/>
      <c r="B265" s="2" t="n"/>
      <c r="C265" s="2" t="n"/>
      <c r="D265" s="2" t="n"/>
      <c r="E265" s="2" t="n"/>
      <c r="F265" s="2" t="n"/>
      <c r="G265" s="2" t="n"/>
      <c r="H265" s="2" t="n"/>
      <c r="I265" s="2" t="n"/>
      <c r="J265" s="2" t="n"/>
    </row>
    <row r="266" ht="15.75" customHeight="1" s="139">
      <c r="A266" s="2" t="n"/>
      <c r="B266" s="2" t="n"/>
      <c r="C266" s="2" t="n"/>
      <c r="D266" s="2" t="n"/>
      <c r="E266" s="2" t="n"/>
      <c r="F266" s="2" t="n"/>
      <c r="G266" s="2" t="n"/>
      <c r="H266" s="2" t="n"/>
      <c r="I266" s="2" t="n"/>
      <c r="J266" s="2" t="n"/>
    </row>
    <row r="267" ht="15.75" customHeight="1" s="139">
      <c r="A267" s="2" t="n"/>
      <c r="B267" s="2" t="n"/>
      <c r="C267" s="2" t="n"/>
      <c r="D267" s="2" t="n"/>
      <c r="E267" s="2" t="n"/>
      <c r="F267" s="2" t="n"/>
      <c r="G267" s="2" t="n"/>
      <c r="H267" s="2" t="n"/>
      <c r="I267" s="2" t="n"/>
      <c r="J267" s="2" t="n"/>
    </row>
    <row r="268" ht="15.75" customHeight="1" s="139">
      <c r="A268" s="2" t="n"/>
      <c r="B268" s="2" t="n"/>
      <c r="C268" s="2" t="n"/>
      <c r="D268" s="2" t="n"/>
      <c r="E268" s="2" t="n"/>
      <c r="F268" s="2" t="n"/>
      <c r="G268" s="2" t="n"/>
      <c r="H268" s="2" t="n"/>
      <c r="I268" s="2" t="n"/>
      <c r="J268" s="2" t="n"/>
    </row>
    <row r="269" ht="15.75" customHeight="1" s="139">
      <c r="A269" s="2" t="n"/>
      <c r="B269" s="2" t="n"/>
      <c r="C269" s="2" t="n"/>
      <c r="D269" s="2" t="n"/>
      <c r="E269" s="2" t="n"/>
      <c r="F269" s="2" t="n"/>
      <c r="G269" s="2" t="n"/>
      <c r="H269" s="2" t="n"/>
      <c r="I269" s="2" t="n"/>
      <c r="J269" s="2" t="n"/>
    </row>
    <row r="270" ht="15.75" customHeight="1" s="139">
      <c r="A270" s="2" t="n"/>
      <c r="B270" s="2" t="n"/>
      <c r="C270" s="2" t="n"/>
      <c r="D270" s="2" t="n"/>
      <c r="E270" s="2" t="n"/>
      <c r="F270" s="2" t="n"/>
      <c r="G270" s="2" t="n"/>
      <c r="H270" s="2" t="n"/>
      <c r="I270" s="2" t="n"/>
      <c r="J270" s="2" t="n"/>
    </row>
    <row r="271" ht="15.75" customHeight="1" s="139">
      <c r="A271" s="2" t="n"/>
      <c r="B271" s="2" t="n"/>
      <c r="C271" s="2" t="n"/>
      <c r="D271" s="2" t="n"/>
      <c r="E271" s="2" t="n"/>
      <c r="F271" s="2" t="n"/>
      <c r="G271" s="2" t="n"/>
      <c r="H271" s="2" t="n"/>
      <c r="I271" s="2" t="n"/>
      <c r="J271" s="2" t="n"/>
    </row>
    <row r="272" ht="15.75" customHeight="1" s="139">
      <c r="A272" s="2" t="n"/>
      <c r="B272" s="2" t="n"/>
      <c r="C272" s="2" t="n"/>
      <c r="D272" s="2" t="n"/>
      <c r="E272" s="2" t="n"/>
      <c r="F272" s="2" t="n"/>
      <c r="G272" s="2" t="n"/>
      <c r="H272" s="2" t="n"/>
      <c r="I272" s="2" t="n"/>
      <c r="J272" s="2" t="n"/>
    </row>
    <row r="273" ht="15.75" customHeight="1" s="139">
      <c r="A273" s="2" t="n"/>
      <c r="B273" s="2" t="n"/>
      <c r="C273" s="2" t="n"/>
      <c r="D273" s="2" t="n"/>
      <c r="E273" s="2" t="n"/>
      <c r="F273" s="2" t="n"/>
      <c r="G273" s="2" t="n"/>
      <c r="H273" s="2" t="n"/>
      <c r="I273" s="2" t="n"/>
      <c r="J273" s="2" t="n"/>
    </row>
    <row r="274" ht="15.75" customHeight="1" s="139">
      <c r="A274" s="2" t="n"/>
      <c r="B274" s="2" t="n"/>
      <c r="C274" s="2" t="n"/>
      <c r="D274" s="2" t="n"/>
      <c r="E274" s="2" t="n"/>
      <c r="F274" s="2" t="n"/>
      <c r="G274" s="2" t="n"/>
      <c r="H274" s="2" t="n"/>
      <c r="I274" s="2" t="n"/>
      <c r="J274" s="2" t="n"/>
    </row>
    <row r="275" ht="15.75" customHeight="1" s="139">
      <c r="A275" s="2" t="n"/>
      <c r="B275" s="2" t="n"/>
      <c r="C275" s="2" t="n"/>
      <c r="D275" s="2" t="n"/>
      <c r="E275" s="2" t="n"/>
      <c r="F275" s="2" t="n"/>
      <c r="G275" s="2" t="n"/>
      <c r="H275" s="2" t="n"/>
      <c r="I275" s="2" t="n"/>
      <c r="J275" s="2" t="n"/>
    </row>
    <row r="276" ht="15.75" customHeight="1" s="139">
      <c r="A276" s="2" t="n"/>
      <c r="B276" s="2" t="n"/>
      <c r="C276" s="2" t="n"/>
      <c r="D276" s="2" t="n"/>
      <c r="E276" s="2" t="n"/>
      <c r="F276" s="2" t="n"/>
      <c r="G276" s="2" t="n"/>
      <c r="H276" s="2" t="n"/>
      <c r="I276" s="2" t="n"/>
      <c r="J276" s="2" t="n"/>
    </row>
    <row r="277" ht="15.75" customHeight="1" s="139">
      <c r="A277" s="2" t="n"/>
      <c r="B277" s="2" t="n"/>
      <c r="C277" s="2" t="n"/>
      <c r="D277" s="2" t="n"/>
      <c r="E277" s="2" t="n"/>
      <c r="F277" s="2" t="n"/>
      <c r="G277" s="2" t="n"/>
      <c r="H277" s="2" t="n"/>
      <c r="I277" s="2" t="n"/>
      <c r="J277" s="2" t="n"/>
    </row>
    <row r="278" ht="15.75" customHeight="1" s="139">
      <c r="A278" s="2" t="n"/>
      <c r="B278" s="2" t="n"/>
      <c r="C278" s="2" t="n"/>
      <c r="D278" s="2" t="n"/>
      <c r="E278" s="2" t="n"/>
      <c r="F278" s="2" t="n"/>
      <c r="G278" s="2" t="n"/>
      <c r="H278" s="2" t="n"/>
      <c r="I278" s="2" t="n"/>
      <c r="J278" s="2" t="n"/>
    </row>
    <row r="279" ht="15.75" customHeight="1" s="139">
      <c r="A279" s="2" t="n"/>
      <c r="B279" s="2" t="n"/>
      <c r="C279" s="2" t="n"/>
      <c r="D279" s="2" t="n"/>
      <c r="E279" s="2" t="n"/>
      <c r="F279" s="2" t="n"/>
      <c r="G279" s="2" t="n"/>
      <c r="H279" s="2" t="n"/>
      <c r="I279" s="2" t="n"/>
      <c r="J279" s="2" t="n"/>
    </row>
    <row r="280" ht="15.75" customHeight="1" s="139">
      <c r="A280" s="2" t="n"/>
      <c r="B280" s="2" t="n"/>
      <c r="C280" s="2" t="n"/>
      <c r="D280" s="2" t="n"/>
      <c r="E280" s="2" t="n"/>
      <c r="F280" s="2" t="n"/>
      <c r="G280" s="2" t="n"/>
      <c r="H280" s="2" t="n"/>
      <c r="I280" s="2" t="n"/>
      <c r="J280" s="2" t="n"/>
    </row>
    <row r="281" ht="15.75" customHeight="1" s="139">
      <c r="A281" s="2" t="n"/>
      <c r="B281" s="2" t="n"/>
      <c r="C281" s="2" t="n"/>
      <c r="D281" s="2" t="n"/>
      <c r="E281" s="2" t="n"/>
      <c r="F281" s="2" t="n"/>
      <c r="G281" s="2" t="n"/>
      <c r="H281" s="2" t="n"/>
      <c r="I281" s="2" t="n"/>
      <c r="J281" s="2" t="n"/>
    </row>
    <row r="282" ht="15.75" customHeight="1" s="139">
      <c r="A282" s="2" t="n"/>
      <c r="B282" s="2" t="n"/>
      <c r="C282" s="2" t="n"/>
      <c r="D282" s="2" t="n"/>
      <c r="E282" s="2" t="n"/>
      <c r="F282" s="2" t="n"/>
      <c r="G282" s="2" t="n"/>
      <c r="H282" s="2" t="n"/>
      <c r="I282" s="2" t="n"/>
      <c r="J282" s="2" t="n"/>
    </row>
    <row r="283" ht="15.75" customHeight="1" s="139">
      <c r="A283" s="2" t="n"/>
      <c r="B283" s="2" t="n"/>
      <c r="C283" s="2" t="n"/>
      <c r="D283" s="2" t="n"/>
      <c r="E283" s="2" t="n"/>
      <c r="F283" s="2" t="n"/>
      <c r="G283" s="2" t="n"/>
      <c r="H283" s="2" t="n"/>
      <c r="I283" s="2" t="n"/>
      <c r="J283" s="2" t="n"/>
    </row>
    <row r="284" ht="15.75" customHeight="1" s="139">
      <c r="A284" s="2" t="n"/>
      <c r="B284" s="2" t="n"/>
      <c r="C284" s="2" t="n"/>
      <c r="D284" s="2" t="n"/>
      <c r="E284" s="2" t="n"/>
      <c r="F284" s="2" t="n"/>
      <c r="G284" s="2" t="n"/>
      <c r="H284" s="2" t="n"/>
      <c r="I284" s="2" t="n"/>
      <c r="J284" s="2" t="n"/>
    </row>
    <row r="285" ht="15.75" customHeight="1" s="139">
      <c r="A285" s="2" t="n"/>
      <c r="B285" s="2" t="n"/>
      <c r="C285" s="2" t="n"/>
      <c r="D285" s="2" t="n"/>
      <c r="E285" s="2" t="n"/>
      <c r="F285" s="2" t="n"/>
      <c r="G285" s="2" t="n"/>
      <c r="H285" s="2" t="n"/>
      <c r="I285" s="2" t="n"/>
      <c r="J285" s="2" t="n"/>
    </row>
    <row r="286" ht="15.75" customHeight="1" s="139">
      <c r="A286" s="2" t="n"/>
      <c r="B286" s="2" t="n"/>
      <c r="C286" s="2" t="n"/>
      <c r="D286" s="2" t="n"/>
      <c r="E286" s="2" t="n"/>
      <c r="F286" s="2" t="n"/>
      <c r="G286" s="2" t="n"/>
      <c r="H286" s="2" t="n"/>
      <c r="I286" s="2" t="n"/>
      <c r="J286" s="2" t="n"/>
    </row>
    <row r="287" ht="15.75" customHeight="1" s="139">
      <c r="A287" s="2" t="n"/>
      <c r="B287" s="2" t="n"/>
      <c r="C287" s="2" t="n"/>
      <c r="D287" s="2" t="n"/>
      <c r="E287" s="2" t="n"/>
      <c r="F287" s="2" t="n"/>
      <c r="G287" s="2" t="n"/>
      <c r="H287" s="2" t="n"/>
      <c r="I287" s="2" t="n"/>
      <c r="J287" s="2" t="n"/>
    </row>
    <row r="288" ht="15.75" customHeight="1" s="139">
      <c r="A288" s="2" t="n"/>
      <c r="B288" s="2" t="n"/>
      <c r="C288" s="2" t="n"/>
      <c r="D288" s="2" t="n"/>
      <c r="E288" s="2" t="n"/>
      <c r="F288" s="2" t="n"/>
      <c r="G288" s="2" t="n"/>
      <c r="H288" s="2" t="n"/>
      <c r="I288" s="2" t="n"/>
      <c r="J288" s="2" t="n"/>
    </row>
    <row r="289" ht="15.75" customHeight="1" s="139">
      <c r="A289" s="2" t="n"/>
      <c r="B289" s="2" t="n"/>
      <c r="C289" s="2" t="n"/>
      <c r="D289" s="2" t="n"/>
      <c r="E289" s="2" t="n"/>
      <c r="F289" s="2" t="n"/>
      <c r="G289" s="2" t="n"/>
      <c r="H289" s="2" t="n"/>
      <c r="I289" s="2" t="n"/>
      <c r="J289" s="2" t="n"/>
    </row>
    <row r="290" ht="15.75" customHeight="1" s="139">
      <c r="A290" s="2" t="n"/>
      <c r="B290" s="2" t="n"/>
      <c r="C290" s="2" t="n"/>
      <c r="D290" s="2" t="n"/>
      <c r="E290" s="2" t="n"/>
      <c r="F290" s="2" t="n"/>
      <c r="G290" s="2" t="n"/>
      <c r="H290" s="2" t="n"/>
      <c r="I290" s="2" t="n"/>
      <c r="J290" s="2" t="n"/>
    </row>
    <row r="291" ht="15.75" customHeight="1" s="139">
      <c r="A291" s="2" t="n"/>
      <c r="B291" s="2" t="n"/>
      <c r="C291" s="2" t="n"/>
      <c r="D291" s="2" t="n"/>
      <c r="E291" s="2" t="n"/>
      <c r="F291" s="2" t="n"/>
      <c r="G291" s="2" t="n"/>
      <c r="H291" s="2" t="n"/>
      <c r="I291" s="2" t="n"/>
      <c r="J291" s="2" t="n"/>
    </row>
    <row r="292" ht="15.75" customHeight="1" s="139">
      <c r="A292" s="2" t="n"/>
      <c r="B292" s="2" t="n"/>
      <c r="C292" s="2" t="n"/>
      <c r="D292" s="2" t="n"/>
      <c r="E292" s="2" t="n"/>
      <c r="F292" s="2" t="n"/>
      <c r="G292" s="2" t="n"/>
      <c r="H292" s="2" t="n"/>
      <c r="I292" s="2" t="n"/>
      <c r="J292" s="2" t="n"/>
    </row>
    <row r="293" ht="15.75" customHeight="1" s="139">
      <c r="A293" s="2" t="n"/>
      <c r="B293" s="2" t="n"/>
      <c r="C293" s="2" t="n"/>
      <c r="D293" s="2" t="n"/>
      <c r="E293" s="2" t="n"/>
      <c r="F293" s="2" t="n"/>
      <c r="G293" s="2" t="n"/>
      <c r="H293" s="2" t="n"/>
      <c r="I293" s="2" t="n"/>
      <c r="J293" s="2" t="n"/>
    </row>
    <row r="294" ht="15.75" customHeight="1" s="139">
      <c r="A294" s="2" t="n"/>
      <c r="B294" s="2" t="n"/>
      <c r="C294" s="2" t="n"/>
      <c r="D294" s="2" t="n"/>
      <c r="E294" s="2" t="n"/>
      <c r="F294" s="2" t="n"/>
      <c r="G294" s="2" t="n"/>
      <c r="H294" s="2" t="n"/>
      <c r="I294" s="2" t="n"/>
      <c r="J294" s="2" t="n"/>
    </row>
    <row r="295" ht="15.75" customHeight="1" s="139">
      <c r="A295" s="2" t="n"/>
      <c r="B295" s="2" t="n"/>
      <c r="C295" s="2" t="n"/>
      <c r="D295" s="2" t="n"/>
      <c r="E295" s="2" t="n"/>
      <c r="F295" s="2" t="n"/>
      <c r="G295" s="2" t="n"/>
      <c r="H295" s="2" t="n"/>
      <c r="I295" s="2" t="n"/>
      <c r="J295" s="2" t="n"/>
    </row>
    <row r="296" ht="15.75" customHeight="1" s="139">
      <c r="A296" s="2" t="n"/>
      <c r="B296" s="2" t="n"/>
      <c r="C296" s="2" t="n"/>
      <c r="D296" s="2" t="n"/>
      <c r="E296" s="2" t="n"/>
      <c r="F296" s="2" t="n"/>
      <c r="G296" s="2" t="n"/>
      <c r="H296" s="2" t="n"/>
      <c r="I296" s="2" t="n"/>
      <c r="J296" s="2" t="n"/>
    </row>
    <row r="297" ht="15.75" customHeight="1" s="139">
      <c r="A297" s="2" t="n"/>
      <c r="B297" s="2" t="n"/>
      <c r="C297" s="2" t="n"/>
      <c r="D297" s="2" t="n"/>
      <c r="E297" s="2" t="n"/>
      <c r="F297" s="2" t="n"/>
      <c r="G297" s="2" t="n"/>
      <c r="H297" s="2" t="n"/>
      <c r="I297" s="2" t="n"/>
      <c r="J297" s="2" t="n"/>
    </row>
    <row r="298" ht="15.75" customHeight="1" s="139">
      <c r="A298" s="2" t="n"/>
      <c r="B298" s="2" t="n"/>
      <c r="C298" s="2" t="n"/>
      <c r="D298" s="2" t="n"/>
      <c r="E298" s="2" t="n"/>
      <c r="F298" s="2" t="n"/>
      <c r="G298" s="2" t="n"/>
      <c r="H298" s="2" t="n"/>
      <c r="I298" s="2" t="n"/>
      <c r="J298" s="2" t="n"/>
    </row>
    <row r="299" ht="15.75" customHeight="1" s="139">
      <c r="A299" s="2" t="n"/>
      <c r="B299" s="2" t="n"/>
      <c r="C299" s="2" t="n"/>
      <c r="D299" s="2" t="n"/>
      <c r="E299" s="2" t="n"/>
      <c r="F299" s="2" t="n"/>
      <c r="G299" s="2" t="n"/>
      <c r="H299" s="2" t="n"/>
      <c r="I299" s="2" t="n"/>
      <c r="J299" s="2" t="n"/>
    </row>
    <row r="300" ht="15.75" customHeight="1" s="139">
      <c r="A300" s="2" t="n"/>
      <c r="B300" s="2" t="n"/>
      <c r="C300" s="2" t="n"/>
      <c r="D300" s="2" t="n"/>
      <c r="E300" s="2" t="n"/>
      <c r="F300" s="2" t="n"/>
      <c r="G300" s="2" t="n"/>
      <c r="H300" s="2" t="n"/>
      <c r="I300" s="2" t="n"/>
      <c r="J300" s="2" t="n"/>
    </row>
    <row r="301" ht="15.75" customHeight="1" s="139">
      <c r="A301" s="2" t="n"/>
      <c r="B301" s="2" t="n"/>
      <c r="C301" s="2" t="n"/>
      <c r="D301" s="2" t="n"/>
      <c r="E301" s="2" t="n"/>
      <c r="F301" s="2" t="n"/>
      <c r="G301" s="2" t="n"/>
      <c r="H301" s="2" t="n"/>
      <c r="I301" s="2" t="n"/>
      <c r="J301" s="2" t="n"/>
    </row>
    <row r="302" ht="15.75" customHeight="1" s="139">
      <c r="A302" s="2" t="n"/>
      <c r="B302" s="2" t="n"/>
      <c r="C302" s="2" t="n"/>
      <c r="D302" s="2" t="n"/>
      <c r="E302" s="2" t="n"/>
      <c r="F302" s="2" t="n"/>
      <c r="G302" s="2" t="n"/>
      <c r="H302" s="2" t="n"/>
      <c r="I302" s="2" t="n"/>
      <c r="J302" s="2" t="n"/>
    </row>
    <row r="303" ht="15.75" customHeight="1" s="139">
      <c r="A303" s="2" t="n"/>
      <c r="B303" s="2" t="n"/>
      <c r="C303" s="2" t="n"/>
      <c r="D303" s="2" t="n"/>
      <c r="E303" s="2" t="n"/>
      <c r="F303" s="2" t="n"/>
      <c r="G303" s="2" t="n"/>
      <c r="H303" s="2" t="n"/>
      <c r="I303" s="2" t="n"/>
      <c r="J303" s="2" t="n"/>
    </row>
    <row r="304" ht="15.75" customHeight="1" s="139">
      <c r="A304" s="2" t="n"/>
      <c r="B304" s="2" t="n"/>
      <c r="C304" s="2" t="n"/>
      <c r="D304" s="2" t="n"/>
      <c r="E304" s="2" t="n"/>
      <c r="F304" s="2" t="n"/>
      <c r="G304" s="2" t="n"/>
      <c r="H304" s="2" t="n"/>
      <c r="I304" s="2" t="n"/>
      <c r="J304" s="2" t="n"/>
    </row>
    <row r="305" ht="15.75" customHeight="1" s="139"/>
    <row r="306" ht="15.75" customHeight="1" s="139"/>
    <row r="307" ht="15.75" customHeight="1" s="139"/>
    <row r="308" ht="15.75" customHeight="1" s="139"/>
    <row r="309" ht="15.75" customHeight="1" s="139"/>
    <row r="310" ht="15.75" customHeight="1" s="139"/>
    <row r="311" ht="15.75" customHeight="1" s="139"/>
    <row r="312" ht="15.75" customHeight="1" s="139"/>
    <row r="313" ht="15.75" customHeight="1" s="139"/>
    <row r="314" ht="15.75" customHeight="1" s="139"/>
    <row r="315" ht="15.75" customHeight="1" s="139"/>
    <row r="316" ht="15.75" customHeight="1" s="139"/>
    <row r="317" ht="15.75" customHeight="1" s="139"/>
    <row r="318" ht="15.75" customHeight="1" s="139"/>
    <row r="319" ht="15.75" customHeight="1" s="139"/>
    <row r="320" ht="15.75" customHeight="1" s="139"/>
    <row r="321" ht="15.75" customHeight="1" s="139"/>
    <row r="322" ht="15.75" customHeight="1" s="139"/>
    <row r="323" ht="15.75" customHeight="1" s="139"/>
    <row r="324" ht="15.75" customHeight="1" s="139"/>
    <row r="325" ht="15.75" customHeight="1" s="139"/>
    <row r="326" ht="15.75" customHeight="1" s="139"/>
    <row r="327" ht="15.75" customHeight="1" s="139"/>
    <row r="328" ht="15.75" customHeight="1" s="139"/>
    <row r="329" ht="15.75" customHeight="1" s="139"/>
    <row r="330" ht="15.75" customHeight="1" s="139"/>
    <row r="331" ht="15.75" customHeight="1" s="139"/>
    <row r="332" ht="15.75" customHeight="1" s="139"/>
    <row r="333" ht="15.75" customHeight="1" s="139"/>
    <row r="334" ht="15.75" customHeight="1" s="139"/>
    <row r="335" ht="15.75" customHeight="1" s="139"/>
    <row r="336" ht="15.75" customHeight="1" s="139"/>
    <row r="337" ht="15.75" customHeight="1" s="139"/>
    <row r="338" ht="15.75" customHeight="1" s="139"/>
    <row r="339" ht="15.75" customHeight="1" s="139"/>
    <row r="340" ht="15.75" customHeight="1" s="139"/>
    <row r="341" ht="15.75" customHeight="1" s="139"/>
    <row r="342" ht="15.75" customHeight="1" s="139"/>
    <row r="343" ht="15.75" customHeight="1" s="139"/>
    <row r="344" ht="15.75" customHeight="1" s="139"/>
    <row r="345" ht="15.75" customHeight="1" s="139"/>
    <row r="346" ht="15.75" customHeight="1" s="139"/>
    <row r="347" ht="15.75" customHeight="1" s="139"/>
    <row r="348" ht="15.75" customHeight="1" s="139"/>
    <row r="349" ht="15.75" customHeight="1" s="139"/>
    <row r="350" ht="15.75" customHeight="1" s="139"/>
    <row r="351" ht="15.75" customHeight="1" s="139"/>
    <row r="352" ht="15.75" customHeight="1" s="139"/>
    <row r="353" ht="15.75" customHeight="1" s="139"/>
    <row r="354" ht="15.75" customHeight="1" s="139"/>
    <row r="355" ht="15.75" customHeight="1" s="139"/>
    <row r="356" ht="15.75" customHeight="1" s="139"/>
    <row r="357" ht="15.75" customHeight="1" s="139"/>
    <row r="358" ht="15.75" customHeight="1" s="139"/>
    <row r="359" ht="15.75" customHeight="1" s="139"/>
    <row r="360" ht="15.75" customHeight="1" s="139"/>
    <row r="361" ht="15.75" customHeight="1" s="139"/>
    <row r="362" ht="15.75" customHeight="1" s="139"/>
    <row r="363" ht="15.75" customHeight="1" s="139"/>
    <row r="364" ht="15.75" customHeight="1" s="139"/>
    <row r="365" ht="15.75" customHeight="1" s="139"/>
    <row r="366" ht="15.75" customHeight="1" s="139"/>
    <row r="367" ht="15.75" customHeight="1" s="139"/>
    <row r="368" ht="15.75" customHeight="1" s="139"/>
    <row r="369" ht="15.75" customHeight="1" s="139"/>
    <row r="370" ht="15.75" customHeight="1" s="139"/>
    <row r="371" ht="15.75" customHeight="1" s="139"/>
    <row r="372" ht="15.75" customHeight="1" s="139"/>
    <row r="373" ht="15.75" customHeight="1" s="139"/>
    <row r="374" ht="15.75" customHeight="1" s="139"/>
    <row r="375" ht="15.75" customHeight="1" s="139"/>
    <row r="376" ht="15.75" customHeight="1" s="139"/>
    <row r="377" ht="15.75" customHeight="1" s="139"/>
    <row r="378" ht="15.75" customHeight="1" s="139"/>
    <row r="379" ht="15.75" customHeight="1" s="139"/>
    <row r="380" ht="15.75" customHeight="1" s="139"/>
    <row r="381" ht="15.75" customHeight="1" s="139"/>
    <row r="382" ht="15.75" customHeight="1" s="139"/>
    <row r="383" ht="15.75" customHeight="1" s="139"/>
    <row r="384" ht="15.75" customHeight="1" s="139"/>
    <row r="385" ht="15.75" customHeight="1" s="139"/>
    <row r="386" ht="15.75" customHeight="1" s="139"/>
    <row r="387" ht="15.75" customHeight="1" s="139"/>
    <row r="388" ht="15.75" customHeight="1" s="139"/>
    <row r="389" ht="15.75" customHeight="1" s="139"/>
    <row r="390" ht="15.75" customHeight="1" s="139"/>
    <row r="391" ht="15.75" customHeight="1" s="139"/>
    <row r="392" ht="15.75" customHeight="1" s="139"/>
    <row r="393" ht="15.75" customHeight="1" s="139"/>
    <row r="394" ht="15.75" customHeight="1" s="139"/>
    <row r="395" ht="15.75" customHeight="1" s="139"/>
    <row r="396" ht="15.75" customHeight="1" s="139"/>
    <row r="397" ht="15.75" customHeight="1" s="139"/>
    <row r="398" ht="15.75" customHeight="1" s="139"/>
    <row r="399" ht="15.75" customHeight="1" s="139"/>
    <row r="400" ht="15.75" customHeight="1" s="139"/>
    <row r="401" ht="15.75" customHeight="1" s="139"/>
    <row r="402" ht="15.75" customHeight="1" s="139"/>
    <row r="403" ht="15.75" customHeight="1" s="139"/>
    <row r="404" ht="15.75" customHeight="1" s="139"/>
    <row r="405" ht="15.75" customHeight="1" s="139"/>
    <row r="406" ht="15.75" customHeight="1" s="139"/>
    <row r="407" ht="15.75" customHeight="1" s="139"/>
    <row r="408" ht="15.75" customHeight="1" s="139"/>
    <row r="409" ht="15.75" customHeight="1" s="139"/>
    <row r="410" ht="15.75" customHeight="1" s="139"/>
    <row r="411" ht="15.75" customHeight="1" s="139"/>
    <row r="412" ht="15.75" customHeight="1" s="139"/>
    <row r="413" ht="15.75" customHeight="1" s="139"/>
    <row r="414" ht="15.75" customHeight="1" s="139"/>
    <row r="415" ht="15.75" customHeight="1" s="139"/>
    <row r="416" ht="15.75" customHeight="1" s="139"/>
    <row r="417" ht="15.75" customHeight="1" s="139"/>
    <row r="418" ht="15.75" customHeight="1" s="139"/>
    <row r="419" ht="15.75" customHeight="1" s="139"/>
    <row r="420" ht="15.75" customHeight="1" s="139"/>
    <row r="421" ht="15.75" customHeight="1" s="139"/>
    <row r="422" ht="15.75" customHeight="1" s="139"/>
    <row r="423" ht="15.75" customHeight="1" s="139"/>
    <row r="424" ht="15.75" customHeight="1" s="139"/>
    <row r="425" ht="15.75" customHeight="1" s="139"/>
    <row r="426" ht="15.75" customHeight="1" s="139"/>
    <row r="427" ht="15.75" customHeight="1" s="139"/>
    <row r="428" ht="15.75" customHeight="1" s="139"/>
    <row r="429" ht="15.75" customHeight="1" s="139"/>
    <row r="430" ht="15.75" customHeight="1" s="139"/>
    <row r="431" ht="15.75" customHeight="1" s="139"/>
    <row r="432" ht="15.75" customHeight="1" s="139"/>
    <row r="433" ht="15.75" customHeight="1" s="139"/>
    <row r="434" ht="15.75" customHeight="1" s="139"/>
    <row r="435" ht="15.75" customHeight="1" s="139"/>
    <row r="436" ht="15.75" customHeight="1" s="139"/>
    <row r="437" ht="15.75" customHeight="1" s="139"/>
    <row r="438" ht="15.75" customHeight="1" s="139"/>
    <row r="439" ht="15.75" customHeight="1" s="139"/>
    <row r="440" ht="15.75" customHeight="1" s="139"/>
    <row r="441" ht="15.75" customHeight="1" s="139"/>
    <row r="442" ht="15.75" customHeight="1" s="139"/>
    <row r="443" ht="15.75" customHeight="1" s="139"/>
    <row r="444" ht="15.75" customHeight="1" s="139"/>
    <row r="445" ht="15.75" customHeight="1" s="139"/>
    <row r="446" ht="15.75" customHeight="1" s="139"/>
    <row r="447" ht="15.75" customHeight="1" s="139"/>
    <row r="448" ht="15.75" customHeight="1" s="139"/>
    <row r="449" ht="15.75" customHeight="1" s="139"/>
    <row r="450" ht="15.75" customHeight="1" s="139"/>
    <row r="451" ht="15.75" customHeight="1" s="139"/>
    <row r="452" ht="15.75" customHeight="1" s="139"/>
    <row r="453" ht="15.75" customHeight="1" s="139"/>
    <row r="454" ht="15.75" customHeight="1" s="139"/>
    <row r="455" ht="15.75" customHeight="1" s="139"/>
    <row r="456" ht="15.75" customHeight="1" s="139"/>
    <row r="457" ht="15.75" customHeight="1" s="139"/>
    <row r="458" ht="15.75" customHeight="1" s="139"/>
    <row r="459" ht="15.75" customHeight="1" s="139"/>
    <row r="460" ht="15.75" customHeight="1" s="139"/>
    <row r="461" ht="15.75" customHeight="1" s="139"/>
    <row r="462" ht="15.75" customHeight="1" s="139"/>
    <row r="463" ht="15.75" customHeight="1" s="139"/>
    <row r="464" ht="15.75" customHeight="1" s="139"/>
    <row r="465" ht="15.75" customHeight="1" s="139"/>
    <row r="466" ht="15.75" customHeight="1" s="139"/>
    <row r="467" ht="15.75" customHeight="1" s="139"/>
    <row r="468" ht="15.75" customHeight="1" s="139"/>
    <row r="469" ht="15.75" customHeight="1" s="139"/>
    <row r="470" ht="15.75" customHeight="1" s="139"/>
    <row r="471" ht="15.75" customHeight="1" s="139"/>
    <row r="472" ht="15.75" customHeight="1" s="139"/>
    <row r="473" ht="15.75" customHeight="1" s="139"/>
    <row r="474" ht="15.75" customHeight="1" s="139"/>
    <row r="475" ht="15.75" customHeight="1" s="139"/>
    <row r="476" ht="15.75" customHeight="1" s="139"/>
    <row r="477" ht="15.75" customHeight="1" s="139"/>
    <row r="478" ht="15.75" customHeight="1" s="139"/>
    <row r="479" ht="15.75" customHeight="1" s="139"/>
    <row r="480" ht="15.75" customHeight="1" s="139"/>
    <row r="481" ht="15.75" customHeight="1" s="139"/>
    <row r="482" ht="15.75" customHeight="1" s="139"/>
    <row r="483" ht="15.75" customHeight="1" s="139"/>
    <row r="484" ht="15.75" customHeight="1" s="139"/>
    <row r="485" ht="15.75" customHeight="1" s="139"/>
    <row r="486" ht="15.75" customHeight="1" s="139"/>
    <row r="487" ht="15.75" customHeight="1" s="139"/>
    <row r="488" ht="15.75" customHeight="1" s="139"/>
    <row r="489" ht="15.75" customHeight="1" s="139"/>
    <row r="490" ht="15.75" customHeight="1" s="139"/>
    <row r="491" ht="15.75" customHeight="1" s="139"/>
    <row r="492" ht="15.75" customHeight="1" s="139"/>
    <row r="493" ht="15.75" customHeight="1" s="139"/>
    <row r="494" ht="15.75" customHeight="1" s="139"/>
    <row r="495" ht="15.75" customHeight="1" s="139"/>
    <row r="496" ht="15.75" customHeight="1" s="139"/>
    <row r="497" ht="15.75" customHeight="1" s="139"/>
    <row r="498" ht="15.75" customHeight="1" s="139"/>
    <row r="499" ht="15.75" customHeight="1" s="139"/>
    <row r="500" ht="15.75" customHeight="1" s="139"/>
    <row r="501" ht="15.75" customHeight="1" s="139"/>
    <row r="502" ht="15.75" customHeight="1" s="139"/>
    <row r="503" ht="15.75" customHeight="1" s="139"/>
    <row r="504" ht="15.75" customHeight="1" s="139"/>
    <row r="505" ht="15.75" customHeight="1" s="139"/>
    <row r="506" ht="15.75" customHeight="1" s="139"/>
    <row r="507" ht="15.75" customHeight="1" s="139"/>
    <row r="508" ht="15.75" customHeight="1" s="139"/>
    <row r="509" ht="15.75" customHeight="1" s="139"/>
    <row r="510" ht="15.75" customHeight="1" s="139"/>
    <row r="511" ht="15.75" customHeight="1" s="139"/>
    <row r="512" ht="15.75" customHeight="1" s="139"/>
    <row r="513" ht="15.75" customHeight="1" s="139"/>
    <row r="514" ht="15.75" customHeight="1" s="139"/>
    <row r="515" ht="15.75" customHeight="1" s="139"/>
    <row r="516" ht="15.75" customHeight="1" s="139"/>
    <row r="517" ht="15.75" customHeight="1" s="139"/>
    <row r="518" ht="15.75" customHeight="1" s="139"/>
    <row r="519" ht="15.75" customHeight="1" s="139"/>
    <row r="520" ht="15.75" customHeight="1" s="139"/>
    <row r="521" ht="15.75" customHeight="1" s="139"/>
    <row r="522" ht="15.75" customHeight="1" s="139"/>
    <row r="523" ht="15.75" customHeight="1" s="139"/>
    <row r="524" ht="15.75" customHeight="1" s="139"/>
    <row r="525" ht="15.75" customHeight="1" s="139"/>
    <row r="526" ht="15.75" customHeight="1" s="139"/>
    <row r="527" ht="15.75" customHeight="1" s="139"/>
    <row r="528" ht="15.75" customHeight="1" s="139"/>
    <row r="529" ht="15.75" customHeight="1" s="139"/>
    <row r="530" ht="15.75" customHeight="1" s="139"/>
    <row r="531" ht="15.75" customHeight="1" s="139"/>
    <row r="532" ht="15.75" customHeight="1" s="139"/>
    <row r="533" ht="15.75" customHeight="1" s="139"/>
    <row r="534" ht="15.75" customHeight="1" s="139"/>
    <row r="535" ht="15.75" customHeight="1" s="139"/>
    <row r="536" ht="15.75" customHeight="1" s="139"/>
    <row r="537" ht="15.75" customHeight="1" s="139"/>
    <row r="538" ht="15.75" customHeight="1" s="139"/>
    <row r="539" ht="15.75" customHeight="1" s="139"/>
    <row r="540" ht="15.75" customHeight="1" s="139"/>
    <row r="541" ht="15.75" customHeight="1" s="139"/>
    <row r="542" ht="15.75" customHeight="1" s="139"/>
    <row r="543" ht="15.75" customHeight="1" s="139"/>
    <row r="544" ht="15.75" customHeight="1" s="139"/>
    <row r="545" ht="15.75" customHeight="1" s="139"/>
    <row r="546" ht="15.75" customHeight="1" s="139"/>
    <row r="547" ht="15.75" customHeight="1" s="139"/>
    <row r="548" ht="15.75" customHeight="1" s="139"/>
    <row r="549" ht="15.75" customHeight="1" s="139"/>
    <row r="550" ht="15.75" customHeight="1" s="139"/>
    <row r="551" ht="15.75" customHeight="1" s="139"/>
    <row r="552" ht="15.75" customHeight="1" s="139"/>
    <row r="553" ht="15.75" customHeight="1" s="139"/>
    <row r="554" ht="15.75" customHeight="1" s="139"/>
    <row r="555" ht="15.75" customHeight="1" s="139"/>
    <row r="556" ht="15.75" customHeight="1" s="139"/>
    <row r="557" ht="15.75" customHeight="1" s="139"/>
    <row r="558" ht="15.75" customHeight="1" s="139"/>
    <row r="559" ht="15.75" customHeight="1" s="139"/>
    <row r="560" ht="15.75" customHeight="1" s="139"/>
    <row r="561" ht="15.75" customHeight="1" s="139"/>
    <row r="562" ht="15.75" customHeight="1" s="139"/>
    <row r="563" ht="15.75" customHeight="1" s="139"/>
    <row r="564" ht="15.75" customHeight="1" s="139"/>
    <row r="565" ht="15.75" customHeight="1" s="139"/>
    <row r="566" ht="15.75" customHeight="1" s="139"/>
    <row r="567" ht="15.75" customHeight="1" s="139"/>
    <row r="568" ht="15.75" customHeight="1" s="139"/>
    <row r="569" ht="15.75" customHeight="1" s="139"/>
    <row r="570" ht="15.75" customHeight="1" s="139"/>
    <row r="571" ht="15.75" customHeight="1" s="139"/>
    <row r="572" ht="15.75" customHeight="1" s="139"/>
    <row r="573" ht="15.75" customHeight="1" s="139"/>
    <row r="574" ht="15.75" customHeight="1" s="139"/>
    <row r="575" ht="15.75" customHeight="1" s="139"/>
    <row r="576" ht="15.75" customHeight="1" s="139"/>
    <row r="577" ht="15.75" customHeight="1" s="139"/>
    <row r="578" ht="15.75" customHeight="1" s="139"/>
    <row r="579" ht="15.75" customHeight="1" s="139"/>
    <row r="580" ht="15.75" customHeight="1" s="139"/>
    <row r="581" ht="15.75" customHeight="1" s="139"/>
    <row r="582" ht="15.75" customHeight="1" s="139"/>
    <row r="583" ht="15.75" customHeight="1" s="139"/>
    <row r="584" ht="15.75" customHeight="1" s="139"/>
    <row r="585" ht="15.75" customHeight="1" s="139"/>
    <row r="586" ht="15.75" customHeight="1" s="139"/>
    <row r="587" ht="15.75" customHeight="1" s="139"/>
    <row r="588" ht="15.75" customHeight="1" s="139"/>
    <row r="589" ht="15.75" customHeight="1" s="139"/>
    <row r="590" ht="15.75" customHeight="1" s="139"/>
    <row r="591" ht="15.75" customHeight="1" s="139"/>
    <row r="592" ht="15.75" customHeight="1" s="139"/>
    <row r="593" ht="15.75" customHeight="1" s="139"/>
    <row r="594" ht="15.75" customHeight="1" s="139"/>
    <row r="595" ht="15.75" customHeight="1" s="139"/>
    <row r="596" ht="15.75" customHeight="1" s="139"/>
    <row r="597" ht="15.75" customHeight="1" s="139"/>
    <row r="598" ht="15.75" customHeight="1" s="139"/>
    <row r="599" ht="15.75" customHeight="1" s="139"/>
    <row r="600" ht="15.75" customHeight="1" s="139"/>
    <row r="601" ht="15.75" customHeight="1" s="139"/>
    <row r="602" ht="15.75" customHeight="1" s="139"/>
    <row r="603" ht="15.75" customHeight="1" s="139"/>
    <row r="604" ht="15.75" customHeight="1" s="139"/>
    <row r="605" ht="15.75" customHeight="1" s="139"/>
    <row r="606" ht="15.75" customHeight="1" s="139"/>
    <row r="607" ht="15.75" customHeight="1" s="139"/>
    <row r="608" ht="15.75" customHeight="1" s="139"/>
    <row r="609" ht="15.75" customHeight="1" s="139"/>
    <row r="610" ht="15.75" customHeight="1" s="139"/>
    <row r="611" ht="15.75" customHeight="1" s="139"/>
    <row r="612" ht="15.75" customHeight="1" s="139"/>
    <row r="613" ht="15.75" customHeight="1" s="139"/>
    <row r="614" ht="15.75" customHeight="1" s="139"/>
    <row r="615" ht="15.75" customHeight="1" s="139"/>
    <row r="616" ht="15.75" customHeight="1" s="139"/>
    <row r="617" ht="15.75" customHeight="1" s="139"/>
    <row r="618" ht="15.75" customHeight="1" s="139"/>
    <row r="619" ht="15.75" customHeight="1" s="139"/>
    <row r="620" ht="15.75" customHeight="1" s="139"/>
    <row r="621" ht="15.75" customHeight="1" s="139"/>
    <row r="622" ht="15.75" customHeight="1" s="139"/>
    <row r="623" ht="15.75" customHeight="1" s="139"/>
    <row r="624" ht="15.75" customHeight="1" s="139"/>
    <row r="625" ht="15.75" customHeight="1" s="139"/>
    <row r="626" ht="15.75" customHeight="1" s="139"/>
    <row r="627" ht="15.75" customHeight="1" s="139"/>
    <row r="628" ht="15.75" customHeight="1" s="139"/>
    <row r="629" ht="15.75" customHeight="1" s="139"/>
    <row r="630" ht="15.75" customHeight="1" s="139"/>
    <row r="631" ht="15.75" customHeight="1" s="139"/>
    <row r="632" ht="15.75" customHeight="1" s="139"/>
    <row r="633" ht="15.75" customHeight="1" s="139"/>
    <row r="634" ht="15.75" customHeight="1" s="139"/>
    <row r="635" ht="15.75" customHeight="1" s="139"/>
    <row r="636" ht="15.75" customHeight="1" s="139"/>
    <row r="637" ht="15.75" customHeight="1" s="139"/>
    <row r="638" ht="15.75" customHeight="1" s="139"/>
    <row r="639" ht="15.75" customHeight="1" s="139"/>
    <row r="640" ht="15.75" customHeight="1" s="139"/>
    <row r="641" ht="15.75" customHeight="1" s="139"/>
    <row r="642" ht="15.75" customHeight="1" s="139"/>
    <row r="643" ht="15.75" customHeight="1" s="139"/>
    <row r="644" ht="15.75" customHeight="1" s="139"/>
    <row r="645" ht="15.75" customHeight="1" s="139"/>
    <row r="646" ht="15.75" customHeight="1" s="139"/>
    <row r="647" ht="15.75" customHeight="1" s="139"/>
    <row r="648" ht="15.75" customHeight="1" s="139"/>
    <row r="649" ht="15.75" customHeight="1" s="139"/>
    <row r="650" ht="15.75" customHeight="1" s="139"/>
    <row r="651" ht="15.75" customHeight="1" s="139"/>
    <row r="652" ht="15.75" customHeight="1" s="139"/>
    <row r="653" ht="15.75" customHeight="1" s="139"/>
    <row r="654" ht="15.75" customHeight="1" s="139"/>
    <row r="655" ht="15.75" customHeight="1" s="139"/>
    <row r="656" ht="15.75" customHeight="1" s="139"/>
    <row r="657" ht="15.75" customHeight="1" s="139"/>
    <row r="658" ht="15.75" customHeight="1" s="139"/>
    <row r="659" ht="15.75" customHeight="1" s="139"/>
    <row r="660" ht="15.75" customHeight="1" s="139"/>
    <row r="661" ht="15.75" customHeight="1" s="139"/>
    <row r="662" ht="15.75" customHeight="1" s="139"/>
    <row r="663" ht="15.75" customHeight="1" s="139"/>
    <row r="664" ht="15.75" customHeight="1" s="139"/>
    <row r="665" ht="15.75" customHeight="1" s="139"/>
    <row r="666" ht="15.75" customHeight="1" s="139"/>
    <row r="667" ht="15.75" customHeight="1" s="139"/>
    <row r="668" ht="15.75" customHeight="1" s="139"/>
    <row r="669" ht="15.75" customHeight="1" s="139"/>
    <row r="670" ht="15.75" customHeight="1" s="139"/>
    <row r="671" ht="15.75" customHeight="1" s="139"/>
    <row r="672" ht="15.75" customHeight="1" s="139"/>
    <row r="673" ht="15.75" customHeight="1" s="139"/>
    <row r="674" ht="15.75" customHeight="1" s="139"/>
    <row r="675" ht="15.75" customHeight="1" s="139"/>
    <row r="676" ht="15.75" customHeight="1" s="139"/>
    <row r="677" ht="15.75" customHeight="1" s="139"/>
    <row r="678" ht="15.75" customHeight="1" s="139"/>
    <row r="679" ht="15.75" customHeight="1" s="139"/>
    <row r="680" ht="15.75" customHeight="1" s="139"/>
    <row r="681" ht="15.75" customHeight="1" s="139"/>
    <row r="682" ht="15.75" customHeight="1" s="139"/>
    <row r="683" ht="15.75" customHeight="1" s="139"/>
    <row r="684" ht="15.75" customHeight="1" s="139"/>
    <row r="685" ht="15.75" customHeight="1" s="139"/>
    <row r="686" ht="15.75" customHeight="1" s="139"/>
    <row r="687" ht="15.75" customHeight="1" s="139"/>
    <row r="688" ht="15.75" customHeight="1" s="139"/>
    <row r="689" ht="15.75" customHeight="1" s="139"/>
    <row r="690" ht="15.75" customHeight="1" s="139"/>
    <row r="691" ht="15.75" customHeight="1" s="139"/>
    <row r="692" ht="15.75" customHeight="1" s="139"/>
    <row r="693" ht="15.75" customHeight="1" s="139"/>
    <row r="694" ht="15.75" customHeight="1" s="139"/>
    <row r="695" ht="15.75" customHeight="1" s="139"/>
    <row r="696" ht="15.75" customHeight="1" s="139"/>
    <row r="697" ht="15.75" customHeight="1" s="139"/>
    <row r="698" ht="15.75" customHeight="1" s="139"/>
    <row r="699" ht="15.75" customHeight="1" s="139"/>
    <row r="700" ht="15.75" customHeight="1" s="139"/>
    <row r="701" ht="15.75" customHeight="1" s="139"/>
    <row r="702" ht="15.75" customHeight="1" s="139"/>
    <row r="703" ht="15.75" customHeight="1" s="139"/>
    <row r="704" ht="15.75" customHeight="1" s="139"/>
    <row r="705" ht="15.75" customHeight="1" s="139"/>
    <row r="706" ht="15.75" customHeight="1" s="139"/>
    <row r="707" ht="15.75" customHeight="1" s="139"/>
    <row r="708" ht="15.75" customHeight="1" s="139"/>
    <row r="709" ht="15.75" customHeight="1" s="139"/>
    <row r="710" ht="15.75" customHeight="1" s="139"/>
    <row r="711" ht="15.75" customHeight="1" s="139"/>
    <row r="712" ht="15.75" customHeight="1" s="139"/>
    <row r="713" ht="15.75" customHeight="1" s="139"/>
    <row r="714" ht="15.75" customHeight="1" s="139"/>
    <row r="715" ht="15.75" customHeight="1" s="139"/>
    <row r="716" ht="15.75" customHeight="1" s="139"/>
    <row r="717" ht="15.75" customHeight="1" s="139"/>
    <row r="718" ht="15.75" customHeight="1" s="139"/>
    <row r="719" ht="15.75" customHeight="1" s="139"/>
    <row r="720" ht="15.75" customHeight="1" s="139"/>
    <row r="721" ht="15.75" customHeight="1" s="139"/>
    <row r="722" ht="15.75" customHeight="1" s="139"/>
    <row r="723" ht="15.75" customHeight="1" s="139"/>
    <row r="724" ht="15.75" customHeight="1" s="139"/>
    <row r="725" ht="15.75" customHeight="1" s="139"/>
    <row r="726" ht="15.75" customHeight="1" s="139"/>
    <row r="727" ht="15.75" customHeight="1" s="139"/>
    <row r="728" ht="15.75" customHeight="1" s="139"/>
    <row r="729" ht="15.75" customHeight="1" s="139"/>
    <row r="730" ht="15.75" customHeight="1" s="139"/>
    <row r="731" ht="15.75" customHeight="1" s="139"/>
    <row r="732" ht="15.75" customHeight="1" s="139"/>
    <row r="733" ht="15.75" customHeight="1" s="139"/>
    <row r="734" ht="15.75" customHeight="1" s="139"/>
    <row r="735" ht="15.75" customHeight="1" s="139"/>
    <row r="736" ht="15.75" customHeight="1" s="139"/>
    <row r="737" ht="15.75" customHeight="1" s="139"/>
    <row r="738" ht="15.75" customHeight="1" s="139"/>
    <row r="739" ht="15.75" customHeight="1" s="139"/>
    <row r="740" ht="15.75" customHeight="1" s="139"/>
    <row r="741" ht="15.75" customHeight="1" s="139"/>
    <row r="742" ht="15.75" customHeight="1" s="139"/>
    <row r="743" ht="15.75" customHeight="1" s="139"/>
    <row r="744" ht="15.75" customHeight="1" s="139"/>
    <row r="745" ht="15.75" customHeight="1" s="139"/>
    <row r="746" ht="15.75" customHeight="1" s="139"/>
    <row r="747" ht="15.75" customHeight="1" s="139"/>
    <row r="748" ht="15.75" customHeight="1" s="139"/>
    <row r="749" ht="15.75" customHeight="1" s="139"/>
    <row r="750" ht="15.75" customHeight="1" s="139"/>
    <row r="751" ht="15.75" customHeight="1" s="139"/>
    <row r="752" ht="15.75" customHeight="1" s="139"/>
    <row r="753" ht="15.75" customHeight="1" s="139"/>
    <row r="754" ht="15.75" customHeight="1" s="139"/>
    <row r="755" ht="15.75" customHeight="1" s="139"/>
    <row r="756" ht="15.75" customHeight="1" s="139"/>
    <row r="757" ht="15.75" customHeight="1" s="139"/>
    <row r="758" ht="15.75" customHeight="1" s="139"/>
    <row r="759" ht="15.75" customHeight="1" s="139"/>
    <row r="760" ht="15.75" customHeight="1" s="139"/>
    <row r="761" ht="15.75" customHeight="1" s="139"/>
    <row r="762" ht="15.75" customHeight="1" s="139"/>
    <row r="763" ht="15.75" customHeight="1" s="139"/>
    <row r="764" ht="15.75" customHeight="1" s="139"/>
    <row r="765" ht="15.75" customHeight="1" s="139"/>
    <row r="766" ht="15.75" customHeight="1" s="139"/>
    <row r="767" ht="15.75" customHeight="1" s="139"/>
    <row r="768" ht="15.75" customHeight="1" s="139"/>
    <row r="769" ht="15.75" customHeight="1" s="139"/>
    <row r="770" ht="15.75" customHeight="1" s="139"/>
    <row r="771" ht="15.75" customHeight="1" s="139"/>
    <row r="772" ht="15.75" customHeight="1" s="139"/>
    <row r="773" ht="15.75" customHeight="1" s="139"/>
    <row r="774" ht="15.75" customHeight="1" s="139"/>
    <row r="775" ht="15.75" customHeight="1" s="139"/>
    <row r="776" ht="15.75" customHeight="1" s="139"/>
    <row r="777" ht="15.75" customHeight="1" s="139"/>
    <row r="778" ht="15.75" customHeight="1" s="139"/>
    <row r="779" ht="15.75" customHeight="1" s="139"/>
    <row r="780" ht="15.75" customHeight="1" s="139"/>
    <row r="781" ht="15.75" customHeight="1" s="139"/>
    <row r="782" ht="15.75" customHeight="1" s="139"/>
    <row r="783" ht="15.75" customHeight="1" s="139"/>
    <row r="784" ht="15.75" customHeight="1" s="139"/>
    <row r="785" ht="15.75" customHeight="1" s="139"/>
    <row r="786" ht="15.75" customHeight="1" s="139"/>
    <row r="787" ht="15.75" customHeight="1" s="139"/>
    <row r="788" ht="15.75" customHeight="1" s="139"/>
    <row r="789" ht="15.75" customHeight="1" s="139"/>
    <row r="790" ht="15.75" customHeight="1" s="139"/>
    <row r="791" ht="15.75" customHeight="1" s="139"/>
    <row r="792" ht="15.75" customHeight="1" s="139"/>
    <row r="793" ht="15.75" customHeight="1" s="139"/>
    <row r="794" ht="15.75" customHeight="1" s="139"/>
    <row r="795" ht="15.75" customHeight="1" s="139"/>
    <row r="796" ht="15.75" customHeight="1" s="139"/>
    <row r="797" ht="15.75" customHeight="1" s="139"/>
    <row r="798" ht="15.75" customHeight="1" s="139"/>
    <row r="799" ht="15.75" customHeight="1" s="139"/>
    <row r="800" ht="15.75" customHeight="1" s="139"/>
    <row r="801" ht="15.75" customHeight="1" s="139"/>
    <row r="802" ht="15.75" customHeight="1" s="139"/>
    <row r="803" ht="15.75" customHeight="1" s="139"/>
    <row r="804" ht="15.75" customHeight="1" s="139"/>
    <row r="805" ht="15.75" customHeight="1" s="139"/>
    <row r="806" ht="15.75" customHeight="1" s="139"/>
    <row r="807" ht="15.75" customHeight="1" s="139"/>
    <row r="808" ht="15.75" customHeight="1" s="139"/>
    <row r="809" ht="15.75" customHeight="1" s="139"/>
    <row r="810" ht="15.75" customHeight="1" s="139"/>
    <row r="811" ht="15.75" customHeight="1" s="139"/>
    <row r="812" ht="15.75" customHeight="1" s="139"/>
    <row r="813" ht="15.75" customHeight="1" s="139"/>
    <row r="814" ht="15.75" customHeight="1" s="139"/>
    <row r="815" ht="15.75" customHeight="1" s="139"/>
    <row r="816" ht="15.75" customHeight="1" s="139"/>
    <row r="817" ht="15.75" customHeight="1" s="139"/>
    <row r="818" ht="15.75" customHeight="1" s="139"/>
    <row r="819" ht="15.75" customHeight="1" s="139"/>
    <row r="820" ht="15.75" customHeight="1" s="139"/>
    <row r="821" ht="15.75" customHeight="1" s="139"/>
    <row r="822" ht="15.75" customHeight="1" s="139"/>
    <row r="823" ht="15.75" customHeight="1" s="139"/>
    <row r="824" ht="15.75" customHeight="1" s="139"/>
    <row r="825" ht="15.75" customHeight="1" s="139"/>
    <row r="826" ht="15.75" customHeight="1" s="139"/>
    <row r="827" ht="15.75" customHeight="1" s="139"/>
    <row r="828" ht="15.75" customHeight="1" s="139"/>
    <row r="829" ht="15.75" customHeight="1" s="139"/>
    <row r="830" ht="15.75" customHeight="1" s="139"/>
    <row r="831" ht="15.75" customHeight="1" s="139"/>
    <row r="832" ht="15.75" customHeight="1" s="139"/>
    <row r="833" ht="15.75" customHeight="1" s="139"/>
    <row r="834" ht="15.75" customHeight="1" s="139"/>
    <row r="835" ht="15.75" customHeight="1" s="139"/>
    <row r="836" ht="15.75" customHeight="1" s="139"/>
    <row r="837" ht="15.75" customHeight="1" s="139"/>
    <row r="838" ht="15.75" customHeight="1" s="139"/>
    <row r="839" ht="15.75" customHeight="1" s="139"/>
    <row r="840" ht="15.75" customHeight="1" s="139"/>
    <row r="841" ht="15.75" customHeight="1" s="139"/>
    <row r="842" ht="15.75" customHeight="1" s="139"/>
    <row r="843" ht="15.75" customHeight="1" s="139"/>
    <row r="844" ht="15.75" customHeight="1" s="139"/>
    <row r="845" ht="15.75" customHeight="1" s="139"/>
    <row r="846" ht="15.75" customHeight="1" s="139"/>
    <row r="847" ht="15.75" customHeight="1" s="139"/>
    <row r="848" ht="15.75" customHeight="1" s="139"/>
    <row r="849" ht="15.75" customHeight="1" s="139"/>
    <row r="850" ht="15.75" customHeight="1" s="139"/>
    <row r="851" ht="15.75" customHeight="1" s="139"/>
    <row r="852" ht="15.75" customHeight="1" s="139"/>
    <row r="853" ht="15.75" customHeight="1" s="139"/>
    <row r="854" ht="15.75" customHeight="1" s="139"/>
    <row r="855" ht="15.75" customHeight="1" s="139"/>
    <row r="856" ht="15.75" customHeight="1" s="139"/>
    <row r="857" ht="15.75" customHeight="1" s="139"/>
    <row r="858" ht="15.75" customHeight="1" s="139"/>
    <row r="859" ht="15.75" customHeight="1" s="139"/>
    <row r="860" ht="15.75" customHeight="1" s="139"/>
    <row r="861" ht="15.75" customHeight="1" s="139"/>
    <row r="862" ht="15.75" customHeight="1" s="139"/>
    <row r="863" ht="15.75" customHeight="1" s="139"/>
    <row r="864" ht="15.75" customHeight="1" s="139"/>
    <row r="865" ht="15.75" customHeight="1" s="139"/>
    <row r="866" ht="15.75" customHeight="1" s="139"/>
    <row r="867" ht="15.75" customHeight="1" s="139"/>
    <row r="868" ht="15.75" customHeight="1" s="139"/>
    <row r="869" ht="15.75" customHeight="1" s="139"/>
    <row r="870" ht="15.75" customHeight="1" s="139"/>
    <row r="871" ht="15.75" customHeight="1" s="139"/>
    <row r="872" ht="15.75" customHeight="1" s="139"/>
    <row r="873" ht="15.75" customHeight="1" s="139"/>
    <row r="874" ht="15.75" customHeight="1" s="139"/>
    <row r="875" ht="15.75" customHeight="1" s="139"/>
    <row r="876" ht="15.75" customHeight="1" s="139"/>
    <row r="877" ht="15.75" customHeight="1" s="139"/>
    <row r="878" ht="15.75" customHeight="1" s="139"/>
    <row r="879" ht="15.75" customHeight="1" s="139"/>
    <row r="880" ht="15.75" customHeight="1" s="139"/>
    <row r="881" ht="15.75" customHeight="1" s="139"/>
    <row r="882" ht="15.75" customHeight="1" s="139"/>
    <row r="883" ht="15.75" customHeight="1" s="139"/>
    <row r="884" ht="15.75" customHeight="1" s="139"/>
    <row r="885" ht="15.75" customHeight="1" s="139"/>
    <row r="886" ht="15.75" customHeight="1" s="139"/>
    <row r="887" ht="15.75" customHeight="1" s="139"/>
    <row r="888" ht="15.75" customHeight="1" s="139"/>
    <row r="889" ht="15.75" customHeight="1" s="139"/>
    <row r="890" ht="15.75" customHeight="1" s="139"/>
    <row r="891" ht="15.75" customHeight="1" s="139"/>
    <row r="892" ht="15.75" customHeight="1" s="139"/>
    <row r="893" ht="15.75" customHeight="1" s="139"/>
    <row r="894" ht="15.75" customHeight="1" s="139"/>
    <row r="895" ht="15.75" customHeight="1" s="139"/>
    <row r="896" ht="15.75" customHeight="1" s="139"/>
    <row r="897" ht="15.75" customHeight="1" s="139"/>
    <row r="898" ht="15.75" customHeight="1" s="139"/>
    <row r="899" ht="15.75" customHeight="1" s="139"/>
    <row r="900" ht="15.75" customHeight="1" s="139"/>
    <row r="901" ht="15.75" customHeight="1" s="139"/>
    <row r="902" ht="15.75" customHeight="1" s="139"/>
    <row r="903" ht="15.75" customHeight="1" s="139"/>
    <row r="904" ht="15.75" customHeight="1" s="139"/>
    <row r="905" ht="15.75" customHeight="1" s="139"/>
    <row r="906" ht="15.75" customHeight="1" s="139"/>
    <row r="907" ht="15.75" customHeight="1" s="139"/>
    <row r="908" ht="15.75" customHeight="1" s="139"/>
    <row r="909" ht="15.75" customHeight="1" s="139"/>
    <row r="910" ht="15.75" customHeight="1" s="139"/>
    <row r="911" ht="15.75" customHeight="1" s="139"/>
    <row r="912" ht="15.75" customHeight="1" s="139"/>
    <row r="913" ht="15.75" customHeight="1" s="139"/>
    <row r="914" ht="15.75" customHeight="1" s="139"/>
    <row r="915" ht="15.75" customHeight="1" s="139"/>
    <row r="916" ht="15.75" customHeight="1" s="139"/>
    <row r="917" ht="15.75" customHeight="1" s="139"/>
    <row r="918" ht="15.75" customHeight="1" s="139"/>
    <row r="919" ht="15.75" customHeight="1" s="139"/>
    <row r="920" ht="15.75" customHeight="1" s="139"/>
    <row r="921" ht="15.75" customHeight="1" s="139"/>
    <row r="922" ht="15.75" customHeight="1" s="139"/>
    <row r="923" ht="15.75" customHeight="1" s="139"/>
    <row r="924" ht="15.75" customHeight="1" s="139"/>
    <row r="925" ht="15.75" customHeight="1" s="139"/>
    <row r="926" ht="15.75" customHeight="1" s="139"/>
    <row r="927" ht="15.75" customHeight="1" s="139"/>
    <row r="928" ht="15.75" customHeight="1" s="139"/>
    <row r="929" ht="15.75" customHeight="1" s="139"/>
    <row r="930" ht="15.75" customHeight="1" s="139"/>
    <row r="931" ht="15.75" customHeight="1" s="139"/>
    <row r="932" ht="15.75" customHeight="1" s="139"/>
    <row r="933" ht="15.75" customHeight="1" s="139"/>
    <row r="934" ht="15.75" customHeight="1" s="139"/>
    <row r="935" ht="15.75" customHeight="1" s="139"/>
    <row r="936" ht="15.75" customHeight="1" s="139"/>
    <row r="937" ht="15.75" customHeight="1" s="139"/>
    <row r="938" ht="15.75" customHeight="1" s="139"/>
    <row r="939" ht="15.75" customHeight="1" s="139"/>
    <row r="940" ht="15.75" customHeight="1" s="139"/>
    <row r="941" ht="15.75" customHeight="1" s="139"/>
    <row r="942" ht="15.75" customHeight="1" s="139"/>
    <row r="943" ht="15.75" customHeight="1" s="139"/>
    <row r="944" ht="15.75" customHeight="1" s="139"/>
    <row r="945" ht="15.75" customHeight="1" s="139"/>
    <row r="946" ht="15.75" customHeight="1" s="139"/>
    <row r="947" ht="15.75" customHeight="1" s="139"/>
    <row r="948" ht="15.75" customHeight="1" s="139"/>
    <row r="949" ht="15.75" customHeight="1" s="139"/>
    <row r="950" ht="15.75" customHeight="1" s="139"/>
    <row r="951" ht="15.75" customHeight="1" s="139"/>
    <row r="952" ht="15.75" customHeight="1" s="139"/>
    <row r="953" ht="15.75" customHeight="1" s="139"/>
    <row r="954" ht="15.75" customHeight="1" s="139"/>
    <row r="955" ht="15.75" customHeight="1" s="139"/>
    <row r="956" ht="15.75" customHeight="1" s="139"/>
    <row r="957" ht="15.75" customHeight="1" s="139"/>
    <row r="958" ht="15.75" customHeight="1" s="139"/>
    <row r="959" ht="15.75" customHeight="1" s="139"/>
    <row r="960" ht="15.75" customHeight="1" s="139"/>
    <row r="961" ht="15.75" customHeight="1" s="139"/>
    <row r="962" ht="15.75" customHeight="1" s="139"/>
    <row r="963" ht="15.75" customHeight="1" s="139"/>
    <row r="964" ht="15.75" customHeight="1" s="139"/>
    <row r="965" ht="15.75" customHeight="1" s="139"/>
    <row r="966" ht="15.75" customHeight="1" s="139"/>
    <row r="967" ht="15.75" customHeight="1" s="139"/>
    <row r="968" ht="15.75" customHeight="1" s="139"/>
    <row r="969" ht="15.75" customHeight="1" s="139"/>
    <row r="970" ht="15.75" customHeight="1" s="139"/>
    <row r="971" ht="15.75" customHeight="1" s="139"/>
    <row r="972" ht="15.75" customHeight="1" s="139"/>
    <row r="973" ht="15.75" customHeight="1" s="139"/>
    <row r="974" ht="15.75" customHeight="1" s="139"/>
    <row r="975" ht="15.75" customHeight="1" s="139"/>
    <row r="976" ht="15.75" customHeight="1" s="139"/>
    <row r="977" ht="15.75" customHeight="1" s="139"/>
    <row r="978" ht="15.75" customHeight="1" s="139"/>
    <row r="979" ht="15.75" customHeight="1" s="139"/>
    <row r="980" ht="15.75" customHeight="1" s="139"/>
    <row r="981" ht="15.75" customHeight="1" s="139"/>
    <row r="982" ht="15.75" customHeight="1" s="139"/>
    <row r="983" ht="15.75" customHeight="1" s="139"/>
    <row r="984" ht="15.75" customHeight="1" s="139"/>
    <row r="985" ht="15.75" customHeight="1" s="139"/>
    <row r="986" ht="15.75" customHeight="1" s="139"/>
    <row r="987" ht="15.75" customHeight="1" s="139"/>
    <row r="988" ht="15.75" customHeight="1" s="139"/>
    <row r="989" ht="15.75" customHeight="1" s="139"/>
    <row r="990" ht="15.75" customHeight="1" s="139"/>
    <row r="991" ht="15.75" customHeight="1" s="139"/>
    <row r="992" ht="15.75" customHeight="1" s="139"/>
    <row r="993" ht="15.75" customHeight="1" s="139"/>
    <row r="994" ht="15.75" customHeight="1" s="139"/>
    <row r="995" ht="15.75" customHeight="1" s="139"/>
    <row r="996" ht="15.75" customHeight="1" s="139"/>
    <row r="997" ht="15.75" customHeight="1" s="139"/>
    <row r="998" ht="15.75" customHeight="1" s="139"/>
    <row r="999" ht="15.75" customHeight="1" s="139"/>
    <row r="1000" ht="15.75" customHeight="1" s="139"/>
  </sheetData>
  <mergeCells count="20">
    <mergeCell ref="B98:D98"/>
    <mergeCell ref="A14:J14"/>
    <mergeCell ref="B101:D101"/>
    <mergeCell ref="A53:J53"/>
    <mergeCell ref="E98:I98"/>
    <mergeCell ref="B103:D103"/>
    <mergeCell ref="B99:D99"/>
    <mergeCell ref="E103:I103"/>
    <mergeCell ref="A24:J24"/>
    <mergeCell ref="B104:D104"/>
    <mergeCell ref="E99:I99"/>
    <mergeCell ref="E104:I104"/>
    <mergeCell ref="B97:D97"/>
    <mergeCell ref="B100:D100"/>
    <mergeCell ref="E101:I101"/>
    <mergeCell ref="A66:J66"/>
    <mergeCell ref="E100:I100"/>
    <mergeCell ref="B102:D102"/>
    <mergeCell ref="E97:I97"/>
    <mergeCell ref="E102:I102"/>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139"/>
  <sheetViews>
    <sheetView showGridLines="0" workbookViewId="0">
      <selection activeCell="A1" sqref="A1"/>
    </sheetView>
  </sheetViews>
  <sheetFormatPr baseColWidth="8" defaultColWidth="12.63" defaultRowHeight="15" customHeight="1"/>
  <cols>
    <col width="30" customWidth="1" style="139" min="1" max="1"/>
    <col width="20" customWidth="1" style="139" min="2" max="2"/>
    <col width="15" customWidth="1" style="139" min="3" max="7"/>
    <col width="62" customWidth="1" style="139" min="8" max="8"/>
    <col width="8.630000000000001" customWidth="1" style="139" min="9" max="26"/>
  </cols>
  <sheetData>
    <row r="1" ht="24" customHeight="1" s="139">
      <c r="A1" s="5" t="inlineStr">
        <is>
          <t>Kết quả V2</t>
        </is>
      </c>
    </row>
    <row r="2" ht="19.5" customHeight="1" s="139">
      <c r="A2" s="19" t="inlineStr">
        <is>
          <t>1. MÔ HÌNH v2 VÀ CÁC NHÁNH</t>
        </is>
      </c>
    </row>
    <row r="3" ht="27.75" customHeight="1" s="139">
      <c r="A3" s="7" t="n"/>
    </row>
    <row r="4" ht="27.75" customHeight="1" s="139">
      <c r="A4" s="12" t="inlineStr">
        <is>
          <t>Arm</t>
        </is>
      </c>
      <c r="B4" s="12" t="inlineStr">
        <is>
          <t>CRN (median theo clip)</t>
        </is>
      </c>
      <c r="C4" s="12" t="inlineStr">
        <is>
          <t>Luồng video V2-S (384-d)</t>
        </is>
      </c>
      <c r="D4" s="12" t="inlineStr">
        <is>
          <t>dvs_anchor_mode</t>
        </is>
      </c>
      <c r="E4" s="12" t="n"/>
      <c r="F4" s="12" t="n"/>
      <c r="G4" s="12" t="n"/>
      <c r="H4" s="12" t="inlineStr">
        <is>
          <t>Ghi chú</t>
        </is>
      </c>
    </row>
    <row r="5" ht="15" customHeight="1" s="139">
      <c r="A5" s="17" t="inlineStr">
        <is>
          <t>A0</t>
        </is>
      </c>
      <c r="B5" s="153" t="inlineStr">
        <is>
          <t>–</t>
        </is>
      </c>
      <c r="C5" s="153" t="inlineStr">
        <is>
          <t>–</t>
        </is>
      </c>
      <c r="D5" s="153" t="inlineStr">
        <is>
          <t>span</t>
        </is>
      </c>
      <c r="E5" s="17" t="n"/>
      <c r="F5" s="17" t="n"/>
      <c r="G5" s="17" t="n"/>
      <c r="H5" s="17" t="inlineStr">
        <is>
          <t>Baseline train trên T2</t>
        </is>
      </c>
    </row>
    <row r="6" ht="15" customHeight="1" s="139">
      <c r="A6" s="17" t="inlineStr">
        <is>
          <t>A1</t>
        </is>
      </c>
      <c r="B6" s="153" t="inlineStr">
        <is>
          <t>✓</t>
        </is>
      </c>
      <c r="C6" s="153" t="inlineStr">
        <is>
          <t>–</t>
        </is>
      </c>
      <c r="D6" s="153" t="inlineStr">
        <is>
          <t>span</t>
        </is>
      </c>
      <c r="E6" s="17" t="n"/>
      <c r="F6" s="17" t="n"/>
      <c r="G6" s="17" t="n"/>
      <c r="H6" s="17" t="inlineStr">
        <is>
          <t>Chỉ CRN</t>
        </is>
      </c>
    </row>
    <row r="7" ht="15" customHeight="1" s="139">
      <c r="A7" s="17" t="inlineStr">
        <is>
          <t>A2</t>
        </is>
      </c>
      <c r="B7" s="153" t="inlineStr">
        <is>
          <t>–</t>
        </is>
      </c>
      <c r="C7" s="153" t="inlineStr">
        <is>
          <t>✓</t>
        </is>
      </c>
      <c r="D7" s="153" t="inlineStr">
        <is>
          <t>span</t>
        </is>
      </c>
      <c r="E7" s="17" t="n"/>
      <c r="F7" s="17" t="n"/>
      <c r="G7" s="17" t="n"/>
      <c r="H7" s="17" t="inlineStr">
        <is>
          <t>Chỉ luồng video</t>
        </is>
      </c>
    </row>
    <row r="8" ht="15" customHeight="1" s="139">
      <c r="A8" s="17" t="inlineStr">
        <is>
          <t>A3</t>
        </is>
      </c>
      <c r="B8" s="153" t="inlineStr">
        <is>
          <t>✓</t>
        </is>
      </c>
      <c r="C8" s="153" t="inlineStr">
        <is>
          <t>✓</t>
        </is>
      </c>
      <c r="D8" s="153" t="inlineStr">
        <is>
          <t>span</t>
        </is>
      </c>
      <c r="E8" s="17" t="n"/>
      <c r="F8" s="17" t="n"/>
      <c r="G8" s="17" t="n"/>
      <c r="H8" s="17" t="inlineStr">
        <is>
          <t>CRN + luồng video</t>
        </is>
      </c>
    </row>
    <row r="9" ht="15" customHeight="1" s="139">
      <c r="A9" s="28" t="inlineStr">
        <is>
          <t>A3-ign</t>
        </is>
      </c>
      <c r="B9" s="26" t="inlineStr">
        <is>
          <t>✓</t>
        </is>
      </c>
      <c r="C9" s="26" t="inlineStr">
        <is>
          <t>✓</t>
        </is>
      </c>
      <c r="D9" s="26" t="inlineStr">
        <is>
          <t>ignore</t>
        </is>
      </c>
      <c r="E9" s="28" t="n"/>
      <c r="F9" s="28" t="n"/>
      <c r="G9" s="28" t="n"/>
      <c r="H9" s="28" t="inlineStr">
        <is>
          <t>A3 + loss.dvs_anchor_mode=ignore</t>
        </is>
      </c>
    </row>
    <row r="10" ht="15" customHeight="1" s="139"/>
    <row r="11" ht="19.5" customHeight="1" s="139">
      <c r="A11" s="19" t="inlineStr">
        <is>
          <t>2. DỮ LIỆU VÀ PROTOCOL</t>
        </is>
      </c>
    </row>
    <row r="12" ht="15" customHeight="1" s="139">
      <c r="A12" s="12" t="inlineStr">
        <is>
          <t>Tập</t>
        </is>
      </c>
      <c r="B12" s="12" t="inlineStr">
        <is>
          <t>Kích thước</t>
        </is>
      </c>
      <c r="C12" s="12" t="n"/>
      <c r="D12" s="12" t="n"/>
      <c r="E12" s="12" t="n"/>
      <c r="F12" s="12" t="n"/>
      <c r="G12" s="12" t="n"/>
      <c r="H12" s="12" t="inlineStr">
        <is>
          <t>Vai trò</t>
        </is>
      </c>
    </row>
    <row r="13" ht="15" customHeight="1" s="139">
      <c r="A13" s="17" t="inlineStr">
        <is>
          <t>T2-train − T2-val</t>
        </is>
      </c>
      <c r="B13" s="17" t="inlineStr">
        <is>
          <t>1,272 − 219 nguồn</t>
        </is>
      </c>
      <c r="C13" s="17" t="n"/>
      <c r="D13" s="17" t="n"/>
      <c r="E13" s="17" t="n"/>
      <c r="F13" s="17" t="n"/>
      <c r="G13" s="17" t="n"/>
      <c r="H13" s="17" t="inlineStr">
        <is>
          <t>Huấn luyện</t>
        </is>
      </c>
    </row>
    <row r="14" ht="27.75" customHeight="1" s="139">
      <c r="A14" s="17" t="inlineStr">
        <is>
          <t>T2-val</t>
        </is>
      </c>
      <c r="B14" s="17" t="inlineStr">
        <is>
          <t>219 nguồn / 645 window</t>
        </is>
      </c>
      <c r="C14" s="17" t="n"/>
      <c r="D14" s="17" t="n"/>
      <c r="E14" s="17" t="n"/>
      <c r="F14" s="17" t="n"/>
      <c r="G14" s="17" t="n"/>
      <c r="H14" s="17" t="inlineStr">
        <is>
          <t>eval</t>
        </is>
      </c>
    </row>
    <row r="15" ht="15" customHeight="1" s="139">
      <c r="A15" s="17" t="inlineStr">
        <is>
          <t>T2-test</t>
        </is>
      </c>
      <c r="B15" s="17" t="inlineStr">
        <is>
          <t>1,106 window</t>
        </is>
      </c>
      <c r="C15" s="17" t="n"/>
      <c r="D15" s="17" t="n"/>
      <c r="E15" s="17" t="n"/>
      <c r="F15" s="17" t="n"/>
      <c r="G15" s="17" t="n"/>
      <c r="H15" s="17" t="inlineStr">
        <is>
          <t>test in-domain</t>
        </is>
      </c>
    </row>
    <row r="16" ht="40.5" customHeight="1" s="139">
      <c r="A16" s="28" t="inlineStr">
        <is>
          <t>DoTA</t>
        </is>
      </c>
      <c r="B16" s="28" t="inlineStr">
        <is>
          <t>1,129 clip, 176 video nguồn</t>
        </is>
      </c>
      <c r="C16" s="28" t="n"/>
      <c r="D16" s="28" t="n"/>
      <c r="E16" s="28" t="n"/>
      <c r="F16" s="28" t="n"/>
      <c r="G16" s="28" t="n"/>
      <c r="H16" s="28" t="inlineStr">
        <is>
          <t>Kết quả chính, zero-shot (mục 3). = mọi clip DoTA có pixel (khôi phục từ CAP-DATA): 1,129 / 1,397 = 80.8 %. Mọi clip đều có cả frame bình thường và bất thường.</t>
        </is>
      </c>
    </row>
    <row r="17" ht="15" customHeight="1" s="139"/>
    <row r="18" ht="19.5" customHeight="1" s="139">
      <c r="A18" s="19" t="inlineStr">
        <is>
          <t>3. KẾT QUẢ TRÊN DoTA (1,129 clip, zero-shot)</t>
        </is>
      </c>
    </row>
    <row r="19" ht="15" customHeight="1" s="139">
      <c r="A19" s="13" t="inlineStr">
        <is>
          <t>3.1 Theo arm (điểm trung bình 5 seed)</t>
        </is>
      </c>
    </row>
    <row r="20" ht="15" customHeight="1" s="139">
      <c r="A20" s="12" t="inlineStr">
        <is>
          <t>Arm</t>
        </is>
      </c>
      <c r="B20" s="12" t="inlineStr">
        <is>
          <t>macro AUC</t>
        </is>
      </c>
      <c r="C20" s="12" t="inlineStr">
        <is>
          <t>CI 95 %</t>
        </is>
      </c>
      <c r="D20" s="12" t="inlineStr">
        <is>
          <t>micro AUC</t>
        </is>
      </c>
      <c r="E20" s="12" t="inlineStr">
        <is>
          <t>AP</t>
        </is>
      </c>
      <c r="F20" s="12" t="inlineStr">
        <is>
          <t>Δ macro vs A0</t>
        </is>
      </c>
      <c r="G20" s="12" t="n"/>
      <c r="H20" s="12" t="inlineStr">
        <is>
          <t>Ghi chú</t>
        </is>
      </c>
    </row>
    <row r="21" ht="27.75" customHeight="1" s="139">
      <c r="A21" s="40" t="inlineStr">
        <is>
          <t>A0</t>
        </is>
      </c>
      <c r="B21" s="155" t="n">
        <v>0.687258</v>
      </c>
      <c r="C21" s="153" t="inlineStr">
        <is>
          <t>[0.671, 0.703]</t>
        </is>
      </c>
      <c r="D21" s="155" t="n">
        <v>0.639812</v>
      </c>
      <c r="E21" s="155" t="n">
        <v>0.438949</v>
      </c>
      <c r="F21" s="153" t="inlineStr">
        <is>
          <t>—</t>
        </is>
      </c>
      <c r="G21" s="153" t="n"/>
      <c r="H21" s="17" t="inlineStr">
        <is>
          <t>Baseline</t>
        </is>
      </c>
    </row>
    <row r="22" ht="27.75" customHeight="1" s="139">
      <c r="A22" s="40" t="inlineStr">
        <is>
          <t>A1</t>
        </is>
      </c>
      <c r="B22" s="155" t="n">
        <v>0.670479</v>
      </c>
      <c r="C22" s="153" t="inlineStr">
        <is>
          <t>[0.656, 0.685]</t>
        </is>
      </c>
      <c r="D22" s="155" t="n">
        <v>0.643807</v>
      </c>
      <c r="E22" s="155" t="n">
        <v>0.432999</v>
      </c>
      <c r="F22" s="156">
        <f>B22-B$21</f>
        <v/>
      </c>
      <c r="G22" s="153" t="n"/>
      <c r="H22" s="17" t="n"/>
    </row>
    <row r="23" ht="27.75" customHeight="1" s="139">
      <c r="A23" s="40" t="inlineStr">
        <is>
          <t>A2</t>
        </is>
      </c>
      <c r="B23" s="155" t="n">
        <v>0.759301</v>
      </c>
      <c r="C23" s="153" t="inlineStr">
        <is>
          <t>[0.745, 0.774]</t>
        </is>
      </c>
      <c r="D23" s="155" t="n">
        <v>0.706555</v>
      </c>
      <c r="E23" s="155" t="n">
        <v>0.51817</v>
      </c>
      <c r="F23" s="156">
        <f>B23-B$21</f>
        <v/>
      </c>
      <c r="G23" s="153" t="n"/>
      <c r="H23" s="17" t="n"/>
    </row>
    <row r="24" ht="27.75" customHeight="1" s="139">
      <c r="A24" s="40" t="inlineStr">
        <is>
          <t>A3</t>
        </is>
      </c>
      <c r="B24" s="155" t="n">
        <v>0.767969</v>
      </c>
      <c r="C24" s="153" t="inlineStr">
        <is>
          <t>[0.756, 0.779]</t>
        </is>
      </c>
      <c r="D24" s="155" t="n">
        <v>0.717226</v>
      </c>
      <c r="E24" s="155" t="n">
        <v>0.510374</v>
      </c>
      <c r="F24" s="156">
        <f>B24-B$21</f>
        <v/>
      </c>
      <c r="G24" s="153" t="n"/>
      <c r="H24" s="17" t="n"/>
    </row>
    <row r="25" ht="27.75" customHeight="1" s="139">
      <c r="A25" s="51" t="inlineStr">
        <is>
          <t>A3-ign</t>
        </is>
      </c>
      <c r="B25" s="52" t="n">
        <v>0.801519</v>
      </c>
      <c r="C25" s="26" t="inlineStr">
        <is>
          <t>[0.790, 0.813]</t>
        </is>
      </c>
      <c r="D25" s="52" t="n">
        <v>0.768773</v>
      </c>
      <c r="E25" s="52" t="n">
        <v>0.581329</v>
      </c>
      <c r="F25" s="53">
        <f>B25-B$21</f>
        <v/>
      </c>
      <c r="G25" s="26" t="n"/>
      <c r="H25" s="28" t="inlineStr">
        <is>
          <t>Mô hình cuối</t>
        </is>
      </c>
    </row>
    <row r="26" ht="15" customHeight="1" s="139"/>
    <row r="27" ht="15" customHeight="1" s="139">
      <c r="A27" s="13" t="inlineStr">
        <is>
          <t>3.2 Tương phản (paired t95 qua 5 seed)</t>
        </is>
      </c>
    </row>
    <row r="28" ht="27.75" customHeight="1" s="139">
      <c r="A28" s="12" t="inlineStr">
        <is>
          <t>Tương phản</t>
        </is>
      </c>
      <c r="B28" s="12" t="inlineStr">
        <is>
          <t>Δ macro</t>
        </is>
      </c>
      <c r="C28" s="12" t="inlineStr">
        <is>
          <t>t95</t>
        </is>
      </c>
      <c r="D28" s="12" t="inlineStr">
        <is>
          <t>Seed dương</t>
        </is>
      </c>
      <c r="E28" s="12" t="inlineStr">
        <is>
          <t>Theo seed (2024…2028)</t>
        </is>
      </c>
      <c r="F28" s="12" t="n"/>
      <c r="G28" s="12" t="n"/>
      <c r="H28" s="12" t="inlineStr">
        <is>
          <t>Kết luận</t>
        </is>
      </c>
    </row>
    <row r="29" ht="27.75" customHeight="1" s="139">
      <c r="A29" s="40" t="inlineStr">
        <is>
          <t>A1 − A0</t>
        </is>
      </c>
      <c r="B29" s="156" t="n">
        <v>-0.010281</v>
      </c>
      <c r="C29" s="153" t="inlineStr">
        <is>
          <t>[−0.0344, +0.0138]</t>
        </is>
      </c>
      <c r="D29" s="153" t="inlineStr">
        <is>
          <t>2/5</t>
        </is>
      </c>
      <c r="E29" s="153" t="inlineStr">
        <is>
          <t>+0.009 / −0.015 / +0.010 / −0.024 / −0.032</t>
        </is>
      </c>
      <c r="F29" s="146" t="n"/>
      <c r="G29" s="147" t="n"/>
      <c r="H29" s="17" t="inlineStr">
        <is>
          <t>CRN một mình: chứa 0, không cải thiện DoTA</t>
        </is>
      </c>
    </row>
    <row r="30" ht="27.75" customHeight="1" s="139">
      <c r="A30" s="40" t="inlineStr">
        <is>
          <t>A2 − A0</t>
        </is>
      </c>
      <c r="B30" s="156" t="n">
        <v>0.089794</v>
      </c>
      <c r="C30" s="153" t="inlineStr">
        <is>
          <t>[+0.0544, +0.1252]</t>
        </is>
      </c>
      <c r="D30" s="153" t="inlineStr">
        <is>
          <t>5/5</t>
        </is>
      </c>
      <c r="E30" s="153" t="inlineStr">
        <is>
          <t>+0.110 / +0.061 / +0.128 / +0.082 / +0.068</t>
        </is>
      </c>
      <c r="F30" s="146" t="n"/>
      <c r="G30" s="147" t="n"/>
      <c r="H30" s="17" t="inlineStr">
        <is>
          <t>Luồng video một mình</t>
        </is>
      </c>
    </row>
    <row r="31" ht="27.75" customHeight="1" s="139">
      <c r="A31" s="51" t="inlineStr">
        <is>
          <t>A3 − A0</t>
        </is>
      </c>
      <c r="B31" s="53" t="n">
        <v>0.087752</v>
      </c>
      <c r="C31" s="26" t="inlineStr">
        <is>
          <t>[+0.0615, +0.1140]</t>
        </is>
      </c>
      <c r="D31" s="26" t="inlineStr">
        <is>
          <t>5/5</t>
        </is>
      </c>
      <c r="E31" s="26" t="inlineStr">
        <is>
          <t>+0.114 / +0.072 / +0.106 / +0.080 / +0.067</t>
        </is>
      </c>
      <c r="F31" s="146" t="n"/>
      <c r="G31" s="147" t="n"/>
      <c r="H31" s="28" t="inlineStr">
        <is>
          <t>CRN + luồng video so với baseline</t>
        </is>
      </c>
    </row>
    <row r="32" ht="27.75" customHeight="1" s="139">
      <c r="A32" s="51" t="inlineStr">
        <is>
          <t>A3 − A1</t>
        </is>
      </c>
      <c r="B32" s="53" t="n">
        <v>0.098033</v>
      </c>
      <c r="C32" s="26" t="inlineStr">
        <is>
          <t>[+0.0889, +0.1072]</t>
        </is>
      </c>
      <c r="D32" s="26" t="inlineStr">
        <is>
          <t>5/5</t>
        </is>
      </c>
      <c r="E32" s="26" t="inlineStr">
        <is>
          <t>+0.105 / +0.087 / +0.096 / +0.104 / +0.099</t>
        </is>
      </c>
      <c r="F32" s="146" t="n"/>
      <c r="G32" s="147" t="n"/>
      <c r="H32" s="28" t="inlineStr">
        <is>
          <t>Luồng video trên nền CRN</t>
        </is>
      </c>
    </row>
    <row r="33" ht="27.75" customHeight="1" s="139">
      <c r="A33" s="40" t="inlineStr">
        <is>
          <t>A2 − A1</t>
        </is>
      </c>
      <c r="B33" s="156" t="n">
        <v>0.100075</v>
      </c>
      <c r="C33" s="153" t="inlineStr">
        <is>
          <t>[+0.0812, +0.1189]</t>
        </is>
      </c>
      <c r="D33" s="153" t="inlineStr">
        <is>
          <t>5/5</t>
        </is>
      </c>
      <c r="E33" s="153" t="inlineStr">
        <is>
          <t>+0.101 / +0.076 / +0.117 / +0.106 / +0.100</t>
        </is>
      </c>
      <c r="F33" s="146" t="n"/>
      <c r="G33" s="147" t="n"/>
      <c r="H33" s="17" t="n"/>
    </row>
    <row r="34" ht="27.75" customHeight="1" s="139">
      <c r="A34" s="51" t="inlineStr">
        <is>
          <t>A3-ign − A3</t>
        </is>
      </c>
      <c r="B34" s="53" t="n">
        <v>0.038705</v>
      </c>
      <c r="C34" s="26" t="inlineStr">
        <is>
          <t>[+0.0338, +0.0436]</t>
        </is>
      </c>
      <c r="D34" s="26" t="inlineStr">
        <is>
          <t>5/5</t>
        </is>
      </c>
      <c r="E34" s="26" t="inlineStr">
        <is>
          <t>+0.042 / +0.041 / +0.041 / +0.033 / +0.036</t>
        </is>
      </c>
      <c r="F34" s="146" t="n"/>
      <c r="G34" s="147" t="n"/>
      <c r="H34" s="28" t="inlineStr">
        <is>
          <t>Bỏ nhãn DVS toàn anchor</t>
        </is>
      </c>
    </row>
    <row r="35" ht="27.75" customHeight="1" s="139">
      <c r="A35" s="51" t="inlineStr">
        <is>
          <t>A3-ign − A0</t>
        </is>
      </c>
      <c r="B35" s="53" t="n">
        <v>0.126456</v>
      </c>
      <c r="C35" s="26" t="inlineStr">
        <is>
          <t>[+0.0968, +0.1561]</t>
        </is>
      </c>
      <c r="D35" s="26" t="inlineStr">
        <is>
          <t>5/5</t>
        </is>
      </c>
      <c r="E35" s="26" t="inlineStr">
        <is>
          <t>+0.156 / +0.112 / +0.148 / +0.114 / +0.102</t>
        </is>
      </c>
      <c r="F35" s="146" t="n"/>
      <c r="G35" s="147" t="n"/>
      <c r="H35" s="28" t="inlineStr">
        <is>
          <t>Mô hình cuối so với baseline</t>
        </is>
      </c>
    </row>
    <row r="36" ht="15" customHeight="1" s="139"/>
    <row r="37" ht="19.5" customHeight="1" s="139">
      <c r="A37" s="19" t="inlineStr">
        <is>
          <t>4. KẾT QUẢ IN-DOMAIN: T2-test (1,106 window)</t>
        </is>
      </c>
    </row>
    <row r="38" ht="15" customHeight="1" s="139">
      <c r="A38" s="12" t="inlineStr">
        <is>
          <t>Arm</t>
        </is>
      </c>
      <c r="B38" s="12" t="inlineStr">
        <is>
          <t>micro</t>
        </is>
      </c>
      <c r="C38" s="12" t="inlineStr">
        <is>
          <t>macro</t>
        </is>
      </c>
      <c r="D38" s="12" t="inlineStr">
        <is>
          <t>window AUC</t>
        </is>
      </c>
      <c r="E38" s="12" t="inlineStr">
        <is>
          <t>Δ macro</t>
        </is>
      </c>
      <c r="F38" s="12" t="inlineStr">
        <is>
          <t>t95</t>
        </is>
      </c>
      <c r="G38" s="12" t="n"/>
      <c r="H38" s="12" t="inlineStr">
        <is>
          <t>Ghi chú</t>
        </is>
      </c>
    </row>
    <row r="39" ht="15" customHeight="1" s="139">
      <c r="A39" s="40" t="inlineStr">
        <is>
          <t>A0</t>
        </is>
      </c>
      <c r="B39" s="155" t="n">
        <v>0.6228</v>
      </c>
      <c r="C39" s="155" t="n">
        <v>0.6307</v>
      </c>
      <c r="D39" s="67" t="n">
        <v>0.667</v>
      </c>
      <c r="E39" s="153" t="inlineStr">
        <is>
          <t>—</t>
        </is>
      </c>
      <c r="F39" s="153" t="n"/>
      <c r="G39" s="147" t="n"/>
      <c r="H39" s="17" t="inlineStr">
        <is>
          <t>Baseline</t>
        </is>
      </c>
    </row>
    <row r="40" ht="15" customHeight="1" s="139">
      <c r="A40" s="40" t="inlineStr">
        <is>
          <t>A1</t>
        </is>
      </c>
      <c r="B40" s="155" t="n">
        <v>0.6594</v>
      </c>
      <c r="C40" s="155" t="n">
        <v>0.6377</v>
      </c>
      <c r="D40" s="67" t="n">
        <v>0.716</v>
      </c>
      <c r="E40" s="68" t="n">
        <v>0.007</v>
      </c>
      <c r="F40" s="153" t="inlineStr">
        <is>
          <t>[+0.000, +0.014] vs A0</t>
        </is>
      </c>
      <c r="G40" s="147" t="n"/>
      <c r="H40" s="17" t="n"/>
    </row>
    <row r="41" ht="15" customHeight="1" s="139">
      <c r="A41" s="40" t="inlineStr">
        <is>
          <t>A2</t>
        </is>
      </c>
      <c r="B41" s="155" t="n">
        <v>0.7153</v>
      </c>
      <c r="C41" s="155" t="n">
        <v>0.708</v>
      </c>
      <c r="D41" s="67" t="n">
        <v>0.771</v>
      </c>
      <c r="E41" s="68" t="n">
        <v>0.077</v>
      </c>
      <c r="F41" s="153" t="inlineStr">
        <is>
          <t>[+0.063, +0.091] vs A0</t>
        </is>
      </c>
      <c r="G41" s="147" t="n"/>
      <c r="H41" s="17" t="n"/>
    </row>
    <row r="42" ht="15" customHeight="1" s="139">
      <c r="A42" s="40" t="inlineStr">
        <is>
          <t>A3</t>
        </is>
      </c>
      <c r="B42" s="155" t="n">
        <v>0.7095</v>
      </c>
      <c r="C42" s="155" t="n">
        <v>0.695</v>
      </c>
      <c r="D42" s="67" t="n">
        <v>0.771</v>
      </c>
      <c r="E42" s="68" t="n">
        <v>0.064</v>
      </c>
      <c r="F42" s="153" t="inlineStr">
        <is>
          <t>[+0.051, +0.078] vs A0</t>
        </is>
      </c>
      <c r="G42" s="147" t="n"/>
      <c r="H42" s="17" t="n"/>
    </row>
    <row r="43" ht="15" customHeight="1" s="139">
      <c r="A43" s="51" t="inlineStr">
        <is>
          <t>A3-ign</t>
        </is>
      </c>
      <c r="B43" s="52" t="n">
        <v>0.7334000000000001</v>
      </c>
      <c r="C43" s="52" t="n">
        <v>0.7202</v>
      </c>
      <c r="D43" s="52" t="n">
        <v>0.7714</v>
      </c>
      <c r="E43" s="53" t="n">
        <v>0.0252</v>
      </c>
      <c r="F43" s="26" t="inlineStr">
        <is>
          <t>[+0.017, +0.033] vs A3</t>
        </is>
      </c>
      <c r="G43" s="147" t="n"/>
      <c r="H43" s="28" t="n"/>
    </row>
    <row r="44" ht="15" customHeight="1" s="139">
      <c r="A44" s="7" t="n"/>
    </row>
    <row r="45" ht="15" customHeight="1" s="139"/>
    <row r="46" ht="19.5" customHeight="1" s="139">
      <c r="A46" s="19" t="inlineStr">
        <is>
          <t>5. PHÂN TÍCH THEO LOẠI TAI NẠN — DoTA (1,129 clip, macro trung bình 5 seed)</t>
        </is>
      </c>
    </row>
    <row r="47" ht="15" customHeight="1" s="139">
      <c r="A47" s="12" t="inlineStr">
        <is>
          <t>Nhóm</t>
        </is>
      </c>
      <c r="B47" s="12" t="inlineStr">
        <is>
          <t>n</t>
        </is>
      </c>
      <c r="C47" s="12" t="inlineStr">
        <is>
          <t>A0</t>
        </is>
      </c>
      <c r="D47" s="12" t="inlineStr">
        <is>
          <t>A3</t>
        </is>
      </c>
      <c r="E47" s="12" t="inlineStr">
        <is>
          <t>A3-ign</t>
        </is>
      </c>
      <c r="F47" s="12" t="inlineStr">
        <is>
          <t>A3-ign − A0</t>
        </is>
      </c>
      <c r="G47" s="12" t="n"/>
      <c r="H47" s="12" t="inlineStr">
        <is>
          <t>Ghi chú</t>
        </is>
      </c>
    </row>
    <row r="48" ht="15" customHeight="1" s="139">
      <c r="A48" s="40" t="inlineStr">
        <is>
          <t>Ego (xe ghi hình liên quan)</t>
        </is>
      </c>
      <c r="B48" s="71" t="n">
        <v>627</v>
      </c>
      <c r="C48" s="67" t="n">
        <v>0.744297</v>
      </c>
      <c r="D48" s="67" t="n">
        <v>0.812271</v>
      </c>
      <c r="E48" s="67" t="n">
        <v>0.846975</v>
      </c>
      <c r="F48" s="68">
        <f>E48-C48</f>
        <v/>
      </c>
      <c r="G48" s="153" t="n"/>
      <c r="H48" s="17" t="n"/>
    </row>
    <row r="49" ht="27.75" customHeight="1" s="139">
      <c r="A49" s="40" t="inlineStr">
        <is>
          <t>Non-ego (xe khác va chạm)</t>
        </is>
      </c>
      <c r="B49" s="71" t="n">
        <v>502</v>
      </c>
      <c r="C49" s="67" t="n">
        <v>0.616016</v>
      </c>
      <c r="D49" s="67" t="n">
        <v>0.712635</v>
      </c>
      <c r="E49" s="67" t="n">
        <v>0.744744</v>
      </c>
      <c r="F49" s="68">
        <f>E49-C49</f>
        <v/>
      </c>
      <c r="G49" s="153" t="n"/>
      <c r="H49" s="17" t="inlineStr">
        <is>
          <t>Thấp hơn ego rõ rệt: hai encoder nén cả frame về 224² thành 1 vector toàn cục → vật nhỏ, ở xa bị pha loãng</t>
        </is>
      </c>
    </row>
    <row r="50" ht="15" customHeight="1" s="139">
      <c r="A50" s="12" t="inlineStr">
        <is>
          <t>Loại tai nạn (n ≥ 15)</t>
        </is>
      </c>
      <c r="B50" s="12" t="inlineStr">
        <is>
          <t>n</t>
        </is>
      </c>
      <c r="C50" s="12" t="inlineStr">
        <is>
          <t>A0</t>
        </is>
      </c>
      <c r="D50" s="12" t="inlineStr">
        <is>
          <t>A3</t>
        </is>
      </c>
      <c r="E50" s="12" t="inlineStr">
        <is>
          <t>A3-ign</t>
        </is>
      </c>
      <c r="F50" s="12" t="inlineStr">
        <is>
          <t>A3-ign − A0</t>
        </is>
      </c>
      <c r="G50" s="12" t="n"/>
      <c r="H50" s="12" t="inlineStr">
        <is>
          <t>Ghi chú</t>
        </is>
      </c>
    </row>
    <row r="51" ht="15" customHeight="1" s="139">
      <c r="A51" s="40" t="inlineStr">
        <is>
          <t>turning</t>
        </is>
      </c>
      <c r="B51" s="71" t="n">
        <v>411</v>
      </c>
      <c r="C51" s="67" t="n">
        <v>0.706417</v>
      </c>
      <c r="D51" s="67" t="n">
        <v>0.765951</v>
      </c>
      <c r="E51" s="67" t="n">
        <v>0.812253</v>
      </c>
      <c r="F51" s="68">
        <f>E51-C51</f>
        <v/>
      </c>
      <c r="G51" s="153" t="n"/>
      <c r="H51" s="17" t="n"/>
    </row>
    <row r="52" ht="15" customHeight="1" s="139">
      <c r="A52" s="40" t="inlineStr">
        <is>
          <t>lateral</t>
        </is>
      </c>
      <c r="B52" s="71" t="n">
        <v>202</v>
      </c>
      <c r="C52" s="67" t="n">
        <v>0.659502</v>
      </c>
      <c r="D52" s="67" t="n">
        <v>0.7827190000000001</v>
      </c>
      <c r="E52" s="67" t="n">
        <v>0.808133</v>
      </c>
      <c r="F52" s="68">
        <f>E52-C52</f>
        <v/>
      </c>
      <c r="G52" s="153" t="n"/>
      <c r="H52" s="17" t="n"/>
    </row>
    <row r="53" ht="15" customHeight="1" s="139">
      <c r="A53" s="40" t="inlineStr">
        <is>
          <t>moving_ahead_or_waiting</t>
        </is>
      </c>
      <c r="B53" s="71" t="n">
        <v>154</v>
      </c>
      <c r="C53" s="67" t="n">
        <v>0.665805</v>
      </c>
      <c r="D53" s="67" t="n">
        <v>0.757457</v>
      </c>
      <c r="E53" s="67" t="n">
        <v>0.7823639999999999</v>
      </c>
      <c r="F53" s="68">
        <f>E53-C53</f>
        <v/>
      </c>
      <c r="G53" s="153" t="n"/>
      <c r="H53" s="17" t="n"/>
    </row>
    <row r="54" ht="15" customHeight="1" s="139">
      <c r="A54" s="40" t="inlineStr">
        <is>
          <t>oncoming</t>
        </is>
      </c>
      <c r="B54" s="71" t="n">
        <v>111</v>
      </c>
      <c r="C54" s="67" t="n">
        <v>0.740432</v>
      </c>
      <c r="D54" s="67" t="n">
        <v>0.8051700000000001</v>
      </c>
      <c r="E54" s="67" t="n">
        <v>0.827411</v>
      </c>
      <c r="F54" s="68">
        <f>E54-C54</f>
        <v/>
      </c>
      <c r="G54" s="153" t="n"/>
      <c r="H54" s="17" t="n"/>
    </row>
    <row r="55" ht="15" customHeight="1" s="139">
      <c r="A55" s="40" t="inlineStr">
        <is>
          <t>leave_to_right</t>
        </is>
      </c>
      <c r="B55" s="71" t="n">
        <v>88</v>
      </c>
      <c r="C55" s="67" t="n">
        <v>0.649101</v>
      </c>
      <c r="D55" s="67" t="n">
        <v>0.758306</v>
      </c>
      <c r="E55" s="67" t="n">
        <v>0.779345</v>
      </c>
      <c r="F55" s="68">
        <f>E55-C55</f>
        <v/>
      </c>
      <c r="G55" s="153" t="n"/>
      <c r="H55" s="17" t="n"/>
    </row>
    <row r="56" ht="15" customHeight="1" s="139">
      <c r="A56" s="40" t="inlineStr">
        <is>
          <t>leave_to_left</t>
        </is>
      </c>
      <c r="B56" s="71" t="n">
        <v>69</v>
      </c>
      <c r="C56" s="67" t="n">
        <v>0.688962</v>
      </c>
      <c r="D56" s="67" t="n">
        <v>0.726735</v>
      </c>
      <c r="E56" s="67" t="n">
        <v>0.746036</v>
      </c>
      <c r="F56" s="68">
        <f>E56-C56</f>
        <v/>
      </c>
      <c r="G56" s="153" t="n"/>
      <c r="H56" s="17" t="n"/>
    </row>
    <row r="57" ht="15" customHeight="1" s="139">
      <c r="A57" s="40" t="inlineStr">
        <is>
          <t>obstacle</t>
        </is>
      </c>
      <c r="B57" s="71" t="n">
        <v>28</v>
      </c>
      <c r="C57" s="67" t="n">
        <v>0.763361</v>
      </c>
      <c r="D57" s="67" t="n">
        <v>0.786968</v>
      </c>
      <c r="E57" s="67" t="n">
        <v>0.856199</v>
      </c>
      <c r="F57" s="68">
        <f>E57-C57</f>
        <v/>
      </c>
      <c r="G57" s="153" t="n"/>
      <c r="H57" s="17" t="n"/>
    </row>
    <row r="58" ht="15" customHeight="1" s="139">
      <c r="A58" s="40" t="inlineStr">
        <is>
          <t>pedestrian</t>
        </is>
      </c>
      <c r="B58" s="71" t="n">
        <v>27</v>
      </c>
      <c r="C58" s="67" t="n">
        <v>0.69202</v>
      </c>
      <c r="D58" s="67" t="n">
        <v>0.790112</v>
      </c>
      <c r="E58" s="67" t="n">
        <v>0.810845</v>
      </c>
      <c r="F58" s="68">
        <f>E58-C58</f>
        <v/>
      </c>
      <c r="G58" s="153" t="n"/>
      <c r="H58" s="17" t="n"/>
    </row>
    <row r="59" ht="15" customHeight="1" s="139">
      <c r="A59" s="40" t="inlineStr">
        <is>
          <t>start_stop_or_stationary</t>
        </is>
      </c>
      <c r="B59" s="71" t="n">
        <v>20</v>
      </c>
      <c r="C59" s="67" t="n">
        <v>0.594154</v>
      </c>
      <c r="D59" s="67" t="n">
        <v>0.706847</v>
      </c>
      <c r="E59" s="67" t="n">
        <v>0.755876</v>
      </c>
      <c r="F59" s="68">
        <f>E59-C59</f>
        <v/>
      </c>
      <c r="G59" s="153" t="n"/>
      <c r="H59" s="17" t="n"/>
    </row>
    <row r="60" ht="15" customHeight="1" s="139">
      <c r="A60" s="40" t="inlineStr">
        <is>
          <t>unknown</t>
        </is>
      </c>
      <c r="B60" s="71" t="n">
        <v>19</v>
      </c>
      <c r="C60" s="67" t="n">
        <v>0.580793</v>
      </c>
      <c r="D60" s="67" t="n">
        <v>0.722025</v>
      </c>
      <c r="E60" s="67" t="n">
        <v>0.761394</v>
      </c>
      <c r="F60" s="68">
        <f>E60-C60</f>
        <v/>
      </c>
      <c r="G60" s="153" t="n"/>
      <c r="H60" s="17" t="n"/>
    </row>
    <row r="61" ht="15" customHeight="1" s="139"/>
    <row r="62" ht="19.5" customHeight="1" s="139">
      <c r="A62" s="19" t="inlineStr">
        <is>
          <t>6. ABLATIONS</t>
        </is>
      </c>
    </row>
    <row r="63" ht="15" customHeight="1" s="139">
      <c r="A63" s="12" t="inlineStr">
        <is>
          <t>Thành phần</t>
        </is>
      </c>
      <c r="B63" s="12" t="inlineStr">
        <is>
          <t>Evidence</t>
        </is>
      </c>
      <c r="C63" s="146" t="n"/>
      <c r="D63" s="147" t="n"/>
      <c r="E63" s="12" t="inlineStr">
        <is>
          <t>Notes</t>
        </is>
      </c>
      <c r="F63" s="146" t="n"/>
      <c r="G63" s="147" t="n"/>
      <c r="H63" s="12" t="n"/>
    </row>
    <row r="64" ht="27.75" customHeight="1" s="139">
      <c r="A64" s="51" t="inlineStr">
        <is>
          <t>Luồng video V2-S</t>
        </is>
      </c>
      <c r="B64" s="28" t="inlineStr">
        <is>
          <t>A3 − A1 +0.098 trên DoTA, 5/5 seed; T2-test A2 − A0 +0.077</t>
        </is>
      </c>
      <c r="C64" s="146" t="n"/>
      <c r="D64" s="147" t="n"/>
      <c r="E64" s="28" t="inlineStr">
        <is>
          <t>Không nhạy với việc thay đổi thứ tự frame (xáo ±0.0004) nên không claim được ý mã hoá chuyển động</t>
        </is>
      </c>
      <c r="F64" s="146" t="n"/>
      <c r="G64" s="147" t="n"/>
      <c r="H64" s="28" t="n"/>
    </row>
    <row r="65" ht="27.75" customHeight="1" s="139">
      <c r="A65" s="51" t="inlineStr">
        <is>
          <t>CRN (R2)</t>
        </is>
      </c>
      <c r="B65" s="28" t="inlineStr">
        <is>
          <t>Xoá shortcut corpus T2↔DoTA trong V^t (0.9999 → 0.55)</t>
        </is>
      </c>
      <c r="C65" s="146" t="n"/>
      <c r="D65" s="147" t="n"/>
      <c r="E65" s="28" t="inlineStr">
        <is>
          <t>A1 − A0 trên DoTA −0.010 (chứa 0); ≈ 0.013 macro chi phí in-domain trên T2</t>
        </is>
      </c>
      <c r="F65" s="146" t="n"/>
      <c r="G65" s="147" t="n"/>
      <c r="H65" s="28" t="n"/>
    </row>
    <row r="66" ht="27.75" customHeight="1" s="139">
      <c r="A66" s="51" t="inlineStr">
        <is>
          <t>DVS anchor `ignore` (A3-ign)</t>
        </is>
      </c>
      <c r="B66" s="28" t="inlineStr">
        <is>
          <t>+0.0387 trên DoTA, 5/5 seed; T2-test +0.025; miễn phí (1 cờ)</t>
        </is>
      </c>
      <c r="C66" s="146" t="n"/>
      <c r="D66" s="147" t="n"/>
      <c r="E66" s="28" t="inlineStr">
        <is>
          <t>Hạ điểm nền trước tai nạn, không phủ thêm đoạn bất thường</t>
        </is>
      </c>
      <c r="F66" s="146" t="n"/>
      <c r="G66" s="147" t="n"/>
      <c r="H66" s="28" t="n"/>
    </row>
    <row r="67" ht="15" customHeight="1" s="139"/>
    <row r="68" ht="19.5" customHeight="1" s="139">
      <c r="A68" s="19" t="inlineStr">
        <is>
          <t>7. Kết luận</t>
        </is>
      </c>
    </row>
    <row r="69" ht="15" customHeight="1" s="139"/>
    <row r="70" ht="15.75" customHeight="1" s="139">
      <c r="A70" s="12" t="inlineStr">
        <is>
          <t>#</t>
        </is>
      </c>
      <c r="B70" s="12" t="inlineStr">
        <is>
          <t>Kết luận</t>
        </is>
      </c>
      <c r="C70" s="146" t="n"/>
      <c r="D70" s="146" t="n"/>
      <c r="E70" s="146" t="n"/>
      <c r="F70" s="146" t="n"/>
      <c r="G70" s="146" t="n"/>
      <c r="H70" s="147" t="n"/>
    </row>
    <row r="71" ht="15.75" customHeight="1" s="139">
      <c r="A71" s="51" t="n">
        <v>2</v>
      </c>
      <c r="B71" s="28" t="inlineStr">
        <is>
          <t>DoTA (1,129 clip): A3-ign macro 0.8015 [0.790, 0.813] so với baseline A0 0.6873: Δ +0.126 [+0.0968, +0.1561], dương 5/5 seed.</t>
        </is>
      </c>
      <c r="C71" s="146" t="n"/>
      <c r="D71" s="146" t="n"/>
      <c r="E71" s="146" t="n"/>
      <c r="F71" s="146" t="n"/>
      <c r="G71" s="146" t="n"/>
      <c r="H71" s="147" t="n"/>
    </row>
    <row r="72" ht="15.75" customHeight="1" s="139">
      <c r="A72" s="51" t="n">
        <v>3</v>
      </c>
      <c r="B72" s="28" t="inlineStr">
        <is>
          <t>Luồng video là thành phần mang lợi ích: A3 − A0 +0.088 [+0.0615, +0.1140], A3 − A1 (thêm luồng video trên nền CRN) +0.098 [+0.0889, +0.1072], đều 5/5 seed.</t>
        </is>
      </c>
      <c r="C72" s="146" t="n"/>
      <c r="D72" s="146" t="n"/>
      <c r="E72" s="146" t="n"/>
      <c r="F72" s="146" t="n"/>
      <c r="G72" s="146" t="n"/>
      <c r="H72" s="147" t="n"/>
    </row>
    <row r="73" ht="15.75" customHeight="1" s="139">
      <c r="A73" s="51" t="n">
        <v>4</v>
      </c>
      <c r="B73" s="28" t="inlineStr">
        <is>
          <t>Bỏ nhãn DVS toàn anchor (A3 → A3-ign) thêm +0.0387 [+0.0338, +0.0436] trên DoTA, 5/5 seed, và +0.025 macro in-domain trên T2-test;</t>
        </is>
      </c>
      <c r="C73" s="146" t="n"/>
      <c r="D73" s="146" t="n"/>
      <c r="E73" s="146" t="n"/>
      <c r="F73" s="146" t="n"/>
      <c r="G73" s="146" t="n"/>
      <c r="H73" s="147" t="n"/>
    </row>
    <row r="74" ht="15.75" customHeight="1" s="139">
      <c r="A74" s="40" t="n">
        <v>5</v>
      </c>
      <c r="B74" s="17" t="inlineStr">
        <is>
          <t>CRN một mình không cải thiện DoTA (A1 − A0 −0.010 [−0.0344, +0.0138], chứa 0), nhưng nó xoá shortcut nhận diện corpus T2↔DoTA trong biểu diễn (0.9999 → 0.55) và được giữ trong A3/A3-ign.</t>
        </is>
      </c>
      <c r="C74" s="146" t="n"/>
      <c r="D74" s="146" t="n"/>
      <c r="E74" s="146" t="n"/>
      <c r="F74" s="146" t="n"/>
      <c r="G74" s="146" t="n"/>
      <c r="H74" s="147" t="n"/>
    </row>
    <row r="75" ht="15.75" customHeight="1" s="139">
      <c r="A75" s="40" t="n">
        <v>6</v>
      </c>
      <c r="B75" s="17" t="inlineStr">
        <is>
          <t>Luồng video không được gọi là "chuyển động": xáo thứ tự 16 frame trong mỗi window gần như không đổi kết quả (±0.0004). Nó là một bộ mã hoá ngoại hình thứ hai, dựa trên video.</t>
        </is>
      </c>
      <c r="C75" s="146" t="n"/>
      <c r="D75" s="146" t="n"/>
      <c r="E75" s="146" t="n"/>
      <c r="F75" s="146" t="n"/>
      <c r="G75" s="146" t="n"/>
      <c r="H75" s="147" t="n"/>
    </row>
    <row r="76" ht="15.75" customHeight="1" s="139">
      <c r="A76" s="40" t="n">
        <v>7</v>
      </c>
      <c r="B76" s="17" t="inlineStr">
        <is>
          <t>Điểm yếu còn lại: tai nạn non-ego (xe khác va chạm) 0.745 so với ego 0.847 (A3-ign); điểm số tập trung quanh thời điểm va chạm hơn là phủ cả đoạn bất thường.</t>
        </is>
      </c>
      <c r="C76" s="146" t="n"/>
      <c r="D76" s="146" t="n"/>
      <c r="E76" s="146" t="n"/>
      <c r="F76" s="146" t="n"/>
      <c r="G76" s="146" t="n"/>
      <c r="H76" s="147" t="n"/>
    </row>
    <row r="77" ht="15.75" customHeight="1" s="139"/>
    <row r="78" ht="19.5" customHeight="1" s="139">
      <c r="A78" s="151" t="inlineStr">
        <is>
          <t>8. ZERO-SHOT TRÊN TAD (camera giao thông cố định, 100 video test)</t>
        </is>
      </c>
    </row>
    <row r="79" ht="54" customHeight="1" s="139">
      <c r="A79" s="152" t="inlineStr">
        <is>
          <t>Dữ liệu và protocol</t>
        </is>
      </c>
      <c r="B79" s="153" t="inlineStr">
        <is>
          <t>TAD test chính thức (tad_test_anno.json): 100 video = 60 Car Accident + 40 Normal, camera cố định. Stride 8, cả video, điểm raw, định nghĩa của TAD. Dùng lại 15 checkpoint đã train trên T2 (A0, A3, A3-ign × 5 seed); không train lại, không chỉnh gì trên TAD. LaGoVAD = checkpoint công bố, chấm lại trên đúng các frame đó (micro 0.7912, khớp Gate T0).</t>
        </is>
      </c>
      <c r="C79" s="146" t="n"/>
      <c r="D79" s="146" t="n"/>
      <c r="E79" s="146" t="n"/>
      <c r="F79" s="146" t="n"/>
      <c r="G79" s="146" t="n"/>
      <c r="H79" s="147" t="n"/>
    </row>
    <row r="80" ht="15.75" customHeight="1" s="139"/>
    <row r="81" ht="15.75" customHeight="1" s="139">
      <c r="A81" s="13" t="inlineStr">
        <is>
          <t>8.1 Theo arm (điểm trung bình 5 seed; macro trên 60 video có cả hai lớp)</t>
        </is>
      </c>
    </row>
    <row r="82" ht="27.75" customHeight="1" s="139">
      <c r="A82" s="154" t="inlineStr">
        <is>
          <t>Arm</t>
        </is>
      </c>
      <c r="B82" s="154" t="inlineStr">
        <is>
          <t>macro AUC</t>
        </is>
      </c>
      <c r="C82" s="154" t="inlineStr">
        <is>
          <t>CI 95 %</t>
        </is>
      </c>
      <c r="D82" s="154" t="inlineStr">
        <is>
          <t>clip-level AUC</t>
        </is>
      </c>
      <c r="E82" s="154" t="inlineStr">
        <is>
          <t>micro AUC</t>
        </is>
      </c>
      <c r="F82" s="154" t="inlineStr">
        <is>
          <t>Δ macro vs A0</t>
        </is>
      </c>
      <c r="H82" s="154" t="inlineStr">
        <is>
          <t>Ghi chú</t>
        </is>
      </c>
    </row>
    <row r="83" ht="27.75" customHeight="1" s="139">
      <c r="A83" s="152" t="inlineStr">
        <is>
          <t>A0</t>
        </is>
      </c>
      <c r="B83" s="155" t="n">
        <v>0.726771171220787</v>
      </c>
      <c r="C83" s="153" t="inlineStr">
        <is>
          <t>[0.657, 0.793]</t>
        </is>
      </c>
      <c r="D83" s="155" t="n">
        <v>0.5779166666666666</v>
      </c>
      <c r="E83" s="155" t="n">
        <v>0.4932309663250366</v>
      </c>
      <c r="F83" s="156" t="inlineStr">
        <is>
          <t>—</t>
        </is>
      </c>
      <c r="H83" s="153" t="inlineStr">
        <is>
          <t>Baseline</t>
        </is>
      </c>
    </row>
    <row r="84" ht="27.75" customHeight="1" s="139">
      <c r="A84" s="152" t="inlineStr">
        <is>
          <t>A3</t>
        </is>
      </c>
      <c r="B84" s="155" t="n">
        <v>0.7696219536846364</v>
      </c>
      <c r="C84" s="153" t="inlineStr">
        <is>
          <t>[0.712, 0.823]</t>
        </is>
      </c>
      <c r="D84" s="155" t="n">
        <v>0.4995833333333333</v>
      </c>
      <c r="E84" s="155" t="n">
        <v>0.6850962664714495</v>
      </c>
      <c r="F84" s="156">
        <f>B84-B$83</f>
        <v/>
      </c>
      <c r="H84" s="153" t="inlineStr"/>
    </row>
    <row r="85" ht="27.75" customHeight="1" s="139">
      <c r="A85" s="157" t="inlineStr">
        <is>
          <t>A3-ign</t>
        </is>
      </c>
      <c r="B85" s="158" t="n">
        <v>0.7594256424066986</v>
      </c>
      <c r="C85" s="159" t="inlineStr">
        <is>
          <t>[0.707, 0.808]</t>
        </is>
      </c>
      <c r="D85" s="158" t="n">
        <v>0.5439583333333334</v>
      </c>
      <c r="E85" s="158" t="n">
        <v>0.6778623108833578</v>
      </c>
      <c r="F85" s="160">
        <f>B85-B$83</f>
        <v/>
      </c>
      <c r="H85" s="159" t="inlineStr">
        <is>
          <t>Mô hình cuối</t>
        </is>
      </c>
    </row>
    <row r="86" ht="27.75" customHeight="1" s="139">
      <c r="A86" s="152" t="inlineStr">
        <is>
          <t>LaGoVAD (checkpoint công bố)</t>
        </is>
      </c>
      <c r="B86" s="155" t="n">
        <v>0.7579100878624522</v>
      </c>
      <c r="C86" s="153" t="inlineStr">
        <is>
          <t>[0.697, 0.814]</t>
        </is>
      </c>
      <c r="D86" s="155" t="n">
        <v>0.7687499999999999</v>
      </c>
      <c r="E86" s="155" t="n">
        <v>0.7912287091264031</v>
      </c>
      <c r="F86" s="156">
        <f>B86-B$83</f>
        <v/>
      </c>
      <c r="H86" s="153" t="inlineStr">
        <is>
          <t>Train trên PreVAD (lớn, đa domain); không phải so sánh cùng điều kiện</t>
        </is>
      </c>
    </row>
    <row r="87" ht="27.75" customHeight="1" s="139">
      <c r="A87" s="152" t="inlineStr">
        <is>
          <t>Ghi chú micro</t>
        </is>
      </c>
      <c r="B87" s="153" t="inlineStr">
        <is>
          <t>Micro trên TAD chủ yếu đo phân loại clip: clip oracle 0.9226, thước độ dài video 0.8968. Không đặt micro TAD cạnh con số 89.56 đã công bố.</t>
        </is>
      </c>
      <c r="C87" s="146" t="n"/>
      <c r="D87" s="146" t="n"/>
      <c r="E87" s="146" t="n"/>
      <c r="F87" s="146" t="n"/>
      <c r="G87" s="146" t="n"/>
      <c r="H87" s="147" t="n"/>
    </row>
    <row r="88" ht="15.75" customHeight="1" s="139"/>
    <row r="89" ht="15.75" customHeight="1" s="139">
      <c r="A89" s="13" t="inlineStr">
        <is>
          <t>8.2 Tương phản (paired t95 qua 5 seed; bootstrap theo video trên điểm trung bình seed)</t>
        </is>
      </c>
    </row>
    <row r="90" ht="27.75" customHeight="1" s="139">
      <c r="A90" s="154" t="inlineStr">
        <is>
          <t>Tương phản</t>
        </is>
      </c>
      <c r="B90" s="154" t="inlineStr">
        <is>
          <t>Δ macro</t>
        </is>
      </c>
      <c r="C90" s="154" t="inlineStr">
        <is>
          <t>t95</t>
        </is>
      </c>
      <c r="D90" s="154" t="inlineStr">
        <is>
          <t>Seed dương</t>
        </is>
      </c>
      <c r="E90" s="154" t="inlineStr">
        <is>
          <t>Theo seed (2024…2028)</t>
        </is>
      </c>
      <c r="F90" s="146" t="n"/>
      <c r="G90" s="147" t="n"/>
      <c r="H90" s="154" t="inlineStr">
        <is>
          <t>Bootstrap theo video · Kết luận</t>
        </is>
      </c>
    </row>
    <row r="91" ht="27.75" customHeight="1" s="139">
      <c r="A91" s="157" t="inlineStr">
        <is>
          <t>A3-ign − A0</t>
        </is>
      </c>
      <c r="B91" s="160" t="n">
        <v>0.02175928928579875</v>
      </c>
      <c r="C91" s="159" t="inlineStr">
        <is>
          <t>[−0.0032, +0.0467]</t>
        </is>
      </c>
      <c r="D91" s="159" t="inlineStr">
        <is>
          <t>4/5</t>
        </is>
      </c>
      <c r="E91" s="159" t="inlineStr">
        <is>
          <t>+0.020 / +0.013 / +0.042 / +0.039 / −0.006</t>
        </is>
      </c>
      <c r="F91" s="146" t="n"/>
      <c r="G91" s="147" t="n"/>
      <c r="H91" s="159" t="inlineStr">
        <is>
          <t>[−0.0486, +0.1155]: không chứng minh được lợi ích của các thành phần v2 so với A0 trên TAD (cả hai khoảng chứa 0)</t>
        </is>
      </c>
    </row>
    <row r="92" ht="27.75" customHeight="1" s="139">
      <c r="A92" s="152" t="inlineStr">
        <is>
          <t>A3 − A0</t>
        </is>
      </c>
      <c r="B92" s="156" t="n">
        <v>0.03241121479909512</v>
      </c>
      <c r="C92" s="153" t="inlineStr">
        <is>
          <t>[+0.0038, +0.0610]</t>
        </is>
      </c>
      <c r="D92" s="153" t="inlineStr">
        <is>
          <t>5/5</t>
        </is>
      </c>
      <c r="E92" s="153" t="inlineStr">
        <is>
          <t>+0.011 / +0.034 / +0.063 / +0.046 / +0.009</t>
        </is>
      </c>
      <c r="F92" s="146" t="n"/>
      <c r="G92" s="147" t="n"/>
      <c r="H92" s="153" t="inlineStr">
        <is>
          <t>[−0.0437, +0.1313]: t95 không chứa 0 nhưng bootstrap chứa 0 → không kết luận</t>
        </is>
      </c>
    </row>
    <row r="93" ht="27.75" customHeight="1" s="139">
      <c r="A93" s="152" t="inlineStr">
        <is>
          <t>A3-ign − A3</t>
        </is>
      </c>
      <c r="B93" s="156" t="n">
        <v>-0.01065192551329637</v>
      </c>
      <c r="C93" s="153" t="inlineStr">
        <is>
          <t>[−0.0263, +0.0050]</t>
        </is>
      </c>
      <c r="D93" s="153" t="inlineStr">
        <is>
          <t>1/5</t>
        </is>
      </c>
      <c r="E93" s="153" t="inlineStr">
        <is>
          <t>+0.010 / −0.021 / −0.020 / −0.007 / −0.015</t>
        </is>
      </c>
      <c r="F93" s="146" t="n"/>
      <c r="G93" s="147" t="n"/>
      <c r="H93" s="153" t="inlineStr">
        <is>
          <t>[−0.0362, +0.0160]: lợi ích của ignore trên DoTA (+0.039) không mang sang TAD</t>
        </is>
      </c>
    </row>
    <row r="94" ht="27.75" customHeight="1" s="139">
      <c r="A94" s="157" t="inlineStr">
        <is>
          <t>A3-ign − LaGoVAD</t>
        </is>
      </c>
      <c r="B94" s="160" t="n">
        <v>0.001515554544246648</v>
      </c>
      <c r="C94" s="159" t="inlineStr">
        <is>
          <t>—</t>
        </is>
      </c>
      <c r="D94" s="159" t="inlineStr">
        <is>
          <t>—</t>
        </is>
      </c>
      <c r="E94" s="159" t="inlineStr">
        <is>
          <t>— (LaGoVAD chỉ có 1 checkpoint)</t>
        </is>
      </c>
      <c r="F94" s="146" t="n"/>
      <c r="G94" s="147" t="n"/>
      <c r="H94" s="159" t="inlineStr">
        <is>
          <t>[−0.0631, +0.0663]: không tách được hai mô hình</t>
        </is>
      </c>
    </row>
    <row r="95" ht="15.75" customHeight="1" s="139"/>
    <row r="96" ht="19.5" customHeight="1" s="139">
      <c r="A96" s="151" t="inlineStr">
        <is>
          <t>9. Kết luận TAD</t>
        </is>
      </c>
    </row>
    <row r="97" ht="15.75" customHeight="1" s="139"/>
    <row r="98" ht="15.75" customHeight="1" s="139">
      <c r="A98" s="154" t="inlineStr">
        <is>
          <t>#</t>
        </is>
      </c>
      <c r="B98" s="154" t="inlineStr">
        <is>
          <t>Kết luận</t>
        </is>
      </c>
      <c r="C98" s="146" t="n"/>
      <c r="D98" s="146" t="n"/>
      <c r="E98" s="146" t="n"/>
      <c r="F98" s="146" t="n"/>
      <c r="G98" s="146" t="n"/>
      <c r="H98" s="147" t="n"/>
    </row>
    <row r="99" ht="42" customHeight="1" s="139">
      <c r="A99" s="157" t="n">
        <v>1</v>
      </c>
      <c r="B99" s="159" t="inlineStr">
        <is>
          <t>Zero-shot trên TAD (camera cố định, chưa từng thấy lúc train), A3-ign đạt macro 0.759, không tách được khỏi checkpoint LaGoVAD công bố (0.758), dù chỉ train trên ~800 window T2 của một corpus dashcam.</t>
        </is>
      </c>
      <c r="C99" s="146" t="n"/>
      <c r="D99" s="146" t="n"/>
      <c r="E99" s="146" t="n"/>
      <c r="F99" s="146" t="n"/>
      <c r="G99" s="146" t="n"/>
      <c r="H99" s="147" t="n"/>
    </row>
    <row r="100" ht="42" customHeight="1" s="139">
      <c r="A100" s="152" t="n">
        <v>2</v>
      </c>
      <c r="B100" s="153" t="inlineStr">
        <is>
          <t>Không chứng minh được lợi ích của các thành phần v2 trên TAD: A3-ign − A0 +0.022, t95 [−0.0032, +0.0467], bootstrap [−0.0486, +0.1155]. Lợi ích của CRN + V2-S mới được chứng minh trên dashcam (DoTA).</t>
        </is>
      </c>
      <c r="C100" s="146" t="n"/>
      <c r="D100" s="146" t="n"/>
      <c r="E100" s="146" t="n"/>
      <c r="F100" s="146" t="n"/>
      <c r="G100" s="146" t="n"/>
      <c r="H100" s="147" t="n"/>
    </row>
    <row r="101" ht="42" customHeight="1" s="139">
      <c r="A101" s="152" t="n">
        <v>3</v>
      </c>
      <c r="B101" s="153" t="inlineStr">
        <is>
          <t>Hạn chế: v2 không phân biệt được video bình thường với video tai nạn (clip-level AUC 0.544 so với LaGoVAD 0.769). Điểm max trên video bình thường dài ≈ 1.0 → báo động giả, không dùng được một ngưỡng toàn cục. Nguyên nhân khả dĩ (suy luận, chưa kiểm): T2 không có video bình thường độc lập, và CRN quy mỗi video về chính nó.</t>
        </is>
      </c>
      <c r="C101" s="146" t="n"/>
      <c r="D101" s="146" t="n"/>
      <c r="E101" s="146" t="n"/>
      <c r="F101" s="146" t="n"/>
      <c r="G101" s="146" t="n"/>
      <c r="H101" s="147" t="n"/>
    </row>
    <row r="102" ht="15.75" customHeight="1" s="139"/>
    <row r="103" ht="19.5" customHeight="1" s="139">
      <c r="A103" s="151" t="inlineStr">
        <is>
          <t>10. GATE MỨC CLIP CHO TAD (sửa điểm yếu ở mục 8–9)</t>
        </is>
      </c>
    </row>
    <row r="104" ht="54" customHeight="1" s="139">
      <c r="A104" s="152" t="inlineStr">
        <is>
          <t>Gate là gì</t>
        </is>
      </c>
      <c r="B104" s="153" t="inlineStr">
        <is>
          <t>c(v) = sigmoid(w · mean_t CLIP(v) + b): logistic regression trên trung bình đặc trưng CLIP thô của cả video (chuẩn hoá, không CRN; 513 tham số). Train riêng, A3-ign đóng băng: loss = BCE có trọng số lớp + L2 (C = 1.0), trên MSAD-train (480 video: 120 bất thường / 360 bình thường, cùng loại camera cho cả hai lớp). Không dùng video TAD nào để train.</t>
        </is>
      </c>
      <c r="C104" s="146" t="n"/>
      <c r="D104" s="146" t="n"/>
      <c r="E104" s="146" t="n"/>
      <c r="F104" s="146" t="n"/>
      <c r="G104" s="146" t="n"/>
      <c r="H104" s="147" t="n"/>
    </row>
    <row r="105" ht="42" customHeight="1" s="139">
      <c r="A105" s="152" t="inlineStr">
        <is>
          <t>Cách ghép</t>
        </is>
      </c>
      <c r="B105" s="153" t="inlineStr">
        <is>
          <t>s(v, t) = c(v) · minmax_v(y_A3ign(v, t)). Nhân cả video với một số dương nên thứ tự trong video giữ nguyên: macro giữ đúng 0.7594, chỉ micro và clip-level thay đổi. A3-ign lo "khi nào" trong video, gate lo "video nào". Chạy offline (cần trung bình cả video), không streaming.</t>
        </is>
      </c>
      <c r="C105" s="146" t="n"/>
      <c r="D105" s="146" t="n"/>
      <c r="E105" s="146" t="n"/>
      <c r="F105" s="146" t="n"/>
      <c r="G105" s="146" t="n"/>
      <c r="H105" s="147" t="n"/>
    </row>
    <row r="106" ht="15.75" customHeight="1" s="139"/>
    <row r="107" ht="15.75" customHeight="1" s="139">
      <c r="A107" s="13" t="inlineStr">
        <is>
          <t>10.1 Gate một mình (clip-level AUC)</t>
        </is>
      </c>
    </row>
    <row r="108" ht="27.75" customHeight="1" s="139">
      <c r="A108" s="154" t="inlineStr">
        <is>
          <t>Tập đọc</t>
        </is>
      </c>
      <c r="B108" s="154" t="inlineStr">
        <is>
          <t>Số video</t>
        </is>
      </c>
      <c r="C108" s="154" t="inlineStr">
        <is>
          <t>clip-level AUC</t>
        </is>
      </c>
      <c r="D108" s="154" t="inlineStr">
        <is>
          <t>Thước độ dài</t>
        </is>
      </c>
      <c r="H108" s="154" t="inlineStr">
        <is>
          <t>Ghi chú</t>
        </is>
      </c>
    </row>
    <row r="109" ht="27.75" customHeight="1" s="139">
      <c r="A109" s="152" t="inlineStr">
        <is>
          <t>MSAD-test</t>
        </is>
      </c>
      <c r="B109" s="71" t="n">
        <v>240</v>
      </c>
      <c r="C109" s="155" t="n">
        <v>0.9483991943884993</v>
      </c>
      <c r="D109" s="155" t="inlineStr">
        <is>
          <t>—</t>
        </is>
      </c>
      <c r="H109" s="153" t="inlineStr">
        <is>
          <t>Sanity in-domain</t>
        </is>
      </c>
    </row>
    <row r="110" ht="27.75" customHeight="1" s="139">
      <c r="A110" s="157" t="inlineStr">
        <is>
          <t>TAD-train (dev)</t>
        </is>
      </c>
      <c r="B110" s="161" t="n">
        <v>410</v>
      </c>
      <c r="C110" s="158" t="n">
        <v>0.8050952380952381</v>
      </c>
      <c r="D110" s="158" t="n">
        <v>0.6540595238095238</v>
      </c>
      <c r="H110" s="159" t="inlineStr">
        <is>
          <t>Gate dev, ngưỡng 0.60 → PASS; không dùng để train</t>
        </is>
      </c>
    </row>
    <row r="111" ht="27.75" customHeight="1" s="139">
      <c r="A111" s="152" t="inlineStr">
        <is>
          <t>TAD-test</t>
        </is>
      </c>
      <c r="B111" s="71" t="n">
        <v>100</v>
      </c>
      <c r="C111" s="155" t="n">
        <v>0.85125</v>
      </c>
      <c r="D111" s="155" t="n">
        <v>0.6939583333333333</v>
      </c>
      <c r="H111" s="153" t="inlineStr"/>
    </row>
    <row r="112" ht="15.75" customHeight="1" s="139"/>
    <row r="113" ht="15.75" customHeight="1" s="139">
      <c r="A113" s="13" t="inlineStr">
        <is>
          <t>10.2 Kết quả trên TAD-test (điểm trung bình 5 seed)</t>
        </is>
      </c>
    </row>
    <row r="114" ht="27.75" customHeight="1" s="139">
      <c r="A114" s="154" t="inlineStr">
        <is>
          <t>Hệ thống</t>
        </is>
      </c>
      <c r="B114" s="154" t="inlineStr">
        <is>
          <t>macro AUC</t>
        </is>
      </c>
      <c r="C114" s="154" t="inlineStr">
        <is>
          <t>micro AUC</t>
        </is>
      </c>
      <c r="D114" s="154" t="inlineStr">
        <is>
          <t>clip-level AUC</t>
        </is>
      </c>
      <c r="E114" s="154" t="inlineStr">
        <is>
          <t>Δ micro vs A3-ign</t>
        </is>
      </c>
      <c r="H114" s="154" t="inlineStr">
        <is>
          <t>Ghi chú</t>
        </is>
      </c>
    </row>
    <row r="115" ht="27.75" customHeight="1" s="139">
      <c r="A115" s="152" t="inlineStr">
        <is>
          <t>A3-ign (mục 8)</t>
        </is>
      </c>
      <c r="B115" s="155" t="n">
        <v>0.7594256424066986</v>
      </c>
      <c r="C115" s="155" t="n">
        <v>0.6778623108833578</v>
      </c>
      <c r="D115" s="155" t="n">
        <v>0.5439583333333334</v>
      </c>
      <c r="E115" s="156" t="inlineStr">
        <is>
          <t>—</t>
        </is>
      </c>
      <c r="H115" s="153" t="inlineStr">
        <is>
          <t>Mù mức clip</t>
        </is>
      </c>
    </row>
    <row r="116" ht="27.75" customHeight="1" s="139">
      <c r="A116" s="157" t="inlineStr">
        <is>
          <t>A3-ign × gate MSAD</t>
        </is>
      </c>
      <c r="B116" s="158" t="n">
        <v>0.7594256424066986</v>
      </c>
      <c r="C116" s="158" t="n">
        <v>0.8347193142996584</v>
      </c>
      <c r="D116" s="158" t="n">
        <v>0.85125</v>
      </c>
      <c r="E116" s="160">
        <f>C116-C$115</f>
        <v/>
      </c>
      <c r="H116" s="159" t="inlineStr">
        <is>
          <t>Hệ thống cuối trên TAD; macro không đổi</t>
        </is>
      </c>
    </row>
    <row r="117" ht="27.75" customHeight="1" s="139">
      <c r="A117" s="152" t="inlineStr">
        <is>
          <t>LaGoVAD (checkpoint công bố)</t>
        </is>
      </c>
      <c r="B117" s="155" t="n">
        <v>0.7579100878624522</v>
      </c>
      <c r="C117" s="155" t="n">
        <v>0.7912287091264031</v>
      </c>
      <c r="D117" s="155" t="n">
        <v>0.7687499999999999</v>
      </c>
      <c r="E117" s="156">
        <f>C117-C$115</f>
        <v/>
      </c>
      <c r="H117" s="153" t="inlineStr">
        <is>
          <t>Không phải so sánh cùng điều kiện</t>
        </is>
      </c>
    </row>
    <row r="118" ht="27.75" customHeight="1" s="139">
      <c r="A118" s="152" t="inlineStr">
        <is>
          <t>Ghi chú micro</t>
        </is>
      </c>
      <c r="B118" s="153" t="inlineStr">
        <is>
          <t>Micro 0.835 vẫn thấp hơn thước độ dài (0.8968) và clip oracle (0.9226): micro trên TAD chủ yếu đo phân loại clip. Không đặt cạnh 89.56.</t>
        </is>
      </c>
      <c r="C118" s="146" t="n"/>
      <c r="D118" s="146" t="n"/>
      <c r="E118" s="146" t="n"/>
      <c r="F118" s="146" t="n"/>
      <c r="G118" s="146" t="n"/>
      <c r="H118" s="147" t="n"/>
    </row>
    <row r="119" ht="15.75" customHeight="1" s="139"/>
    <row r="120" ht="15.75" customHeight="1" s="139">
      <c r="A120" s="13" t="inlineStr">
        <is>
          <t>10.3 Tương phản micro (paired t95 qua 5 seed; bootstrap theo video)</t>
        </is>
      </c>
    </row>
    <row r="121" ht="27.75" customHeight="1" s="139">
      <c r="A121" s="154" t="inlineStr">
        <is>
          <t>Tương phản</t>
        </is>
      </c>
      <c r="B121" s="154" t="inlineStr">
        <is>
          <t>Δ micro</t>
        </is>
      </c>
      <c r="C121" s="154" t="inlineStr">
        <is>
          <t>t95</t>
        </is>
      </c>
      <c r="D121" s="154" t="inlineStr">
        <is>
          <t>Seed dương</t>
        </is>
      </c>
      <c r="E121" s="154" t="inlineStr">
        <is>
          <t>Theo seed (2024…2028)</t>
        </is>
      </c>
      <c r="F121" s="146" t="n"/>
      <c r="G121" s="147" t="n"/>
      <c r="H121" s="154" t="inlineStr">
        <is>
          <t>Bootstrap theo video · Kết luận</t>
        </is>
      </c>
    </row>
    <row r="122" ht="27.75" customHeight="1" s="139">
      <c r="A122" s="157" t="inlineStr">
        <is>
          <t>(A3-ign × gate) − A3-ign</t>
        </is>
      </c>
      <c r="B122" s="160" t="n">
        <v>0.1360836749633967</v>
      </c>
      <c r="C122" s="159" t="inlineStr">
        <is>
          <t>[+0.1323, +0.1398]</t>
        </is>
      </c>
      <c r="D122" s="159" t="inlineStr">
        <is>
          <t>5/5</t>
        </is>
      </c>
      <c r="E122" s="159" t="inlineStr">
        <is>
          <t>+0.136 / +0.141 / +0.134 / +0.136 / +0.133</t>
        </is>
      </c>
      <c r="F122" s="146" t="n"/>
      <c r="G122" s="147" t="n"/>
      <c r="H122" s="159" t="inlineStr">
        <is>
          <t>[+0.1024, +0.2037]: gate train trên MSAD khôi phục khả năng phân biệt mức clip trên TAD</t>
        </is>
      </c>
    </row>
    <row r="123" ht="27.75" customHeight="1" s="139">
      <c r="A123" s="152" t="inlineStr">
        <is>
          <t>(A3-ign × gate) − LaGoVAD</t>
        </is>
      </c>
      <c r="B123" s="156" t="n">
        <v>0.04349060517325531</v>
      </c>
      <c r="C123" s="153" t="inlineStr">
        <is>
          <t>—</t>
        </is>
      </c>
      <c r="D123" s="153" t="inlineStr">
        <is>
          <t>—</t>
        </is>
      </c>
      <c r="E123" s="153" t="inlineStr">
        <is>
          <t>— (LaGoVAD chỉ có 1 checkpoint)</t>
        </is>
      </c>
      <c r="F123" s="146" t="n"/>
      <c r="G123" s="147" t="n"/>
      <c r="H123" s="153" t="inlineStr">
        <is>
          <t>[−0.0313, +0.1294]: không tách được</t>
        </is>
      </c>
    </row>
    <row r="124" ht="15.75" customHeight="1" s="139"/>
    <row r="125" ht="15.75" customHeight="1" s="139">
      <c r="A125" s="13" t="inlineStr">
        <is>
          <t>10.4 Gate có chỉ học độ dài video không? (post-hoc, chỉ in ra)</t>
        </is>
      </c>
    </row>
    <row r="126" ht="27.75" customHeight="1" s="139">
      <c r="A126" s="154" t="inlineStr">
        <is>
          <t>Đo</t>
        </is>
      </c>
      <c r="B126" s="154" t="inlineStr">
        <is>
          <t>TAD-train</t>
        </is>
      </c>
      <c r="C126" s="154" t="inlineStr">
        <is>
          <t>TAD-test</t>
        </is>
      </c>
      <c r="H126" s="154" t="inlineStr">
        <is>
          <t>Ghi chú</t>
        </is>
      </c>
    </row>
    <row r="127" ht="27.75" customHeight="1" s="139">
      <c r="A127" s="152" t="inlineStr">
        <is>
          <t>Gate (clip-level AUC)</t>
        </is>
      </c>
      <c r="B127" s="155" t="n">
        <v>0.8050952380952381</v>
      </c>
      <c r="C127" s="155" t="n">
        <v>0.85125</v>
      </c>
      <c r="H127" s="153" t="inlineStr"/>
    </row>
    <row r="128" ht="27.75" customHeight="1" s="139">
      <c r="A128" s="152" t="inlineStr">
        <is>
          <t>Chỉ độ dài (video ngắn = tai nạn)</t>
        </is>
      </c>
      <c r="B128" s="155" t="n">
        <v>0.6540595238095238</v>
      </c>
      <c r="C128" s="155" t="n">
        <v>0.6939583333333333</v>
      </c>
      <c r="H128" s="153" t="inlineStr"/>
    </row>
    <row r="129" ht="27.75" customHeight="1" s="139">
      <c r="A129" s="152" t="inlineStr">
        <is>
          <t>Gate sau khi trừ phần giải thích bởi log độ dài</t>
        </is>
      </c>
      <c r="B129" s="155" t="n">
        <v>0.7544999999999999</v>
      </c>
      <c r="C129" s="155" t="n">
        <v>0.7983</v>
      </c>
      <c r="H129" s="153" t="inlineStr">
        <is>
          <t>Hồi quy fit trên TAD-train, áp sang TAD-test</t>
        </is>
      </c>
    </row>
    <row r="130" ht="27.75" customHeight="1" s="139">
      <c r="A130" s="152" t="inlineStr">
        <is>
          <t>Gate trong từng nhóm độ dài (3 nhóm)</t>
        </is>
      </c>
      <c r="B130" s="155" t="inlineStr">
        <is>
          <t>0.64 / 0.84 / 0.86</t>
        </is>
      </c>
      <c r="C130" s="155" t="inlineStr">
        <is>
          <t>0.75 / 0.97 / 0.88</t>
        </is>
      </c>
      <c r="H130" s="153" t="inlineStr">
        <is>
          <t>Mốc chia lấy từ TAD-train</t>
        </is>
      </c>
    </row>
    <row r="131" ht="15.75" customHeight="1" s="139"/>
    <row r="132" ht="19.5" customHeight="1" s="139">
      <c r="A132" s="151" t="inlineStr">
        <is>
          <t>11. Kết luận gate TAD</t>
        </is>
      </c>
    </row>
    <row r="133" ht="15.75" customHeight="1" s="139"/>
    <row r="134" ht="15.75" customHeight="1" s="139">
      <c r="A134" s="154" t="inlineStr">
        <is>
          <t>#</t>
        </is>
      </c>
      <c r="B134" s="154" t="inlineStr">
        <is>
          <t>Kết luận</t>
        </is>
      </c>
      <c r="C134" s="146" t="n"/>
      <c r="D134" s="146" t="n"/>
      <c r="E134" s="146" t="n"/>
      <c r="F134" s="146" t="n"/>
      <c r="G134" s="146" t="n"/>
      <c r="H134" s="147" t="n"/>
    </row>
    <row r="135" ht="42" customHeight="1" s="139">
      <c r="A135" s="157" t="n">
        <v>1</v>
      </c>
      <c r="B135" s="159" t="inlineStr">
        <is>
          <t>Ghép A3-ign với gate mức clip train trên MSAD (không dùng video TAD nào) nâng micro trên TAD từ 0.678 lên 0.835: Δ +0.136 [+0.1323, +0.1398], dương 5/5 seed, bootstrap [+0.1024, +0.2037]; clip-level AUC 0.544 → 0.851; macro giữ nguyên.</t>
        </is>
      </c>
      <c r="C135" s="146" t="n"/>
      <c r="D135" s="146" t="n"/>
      <c r="E135" s="146" t="n"/>
      <c r="F135" s="146" t="n"/>
      <c r="G135" s="146" t="n"/>
      <c r="H135" s="147" t="n"/>
    </row>
    <row r="136" ht="42" customHeight="1" s="139">
      <c r="A136" s="152" t="n">
        <v>2</v>
      </c>
      <c r="B136" s="153" t="inlineStr">
        <is>
          <t>So với LaGoVAD công bố: micro 0.835 vs 0.791, bootstrap [−0.0313, +0.1294]: không tách được; không claim vượt LaGoVAD.</t>
        </is>
      </c>
      <c r="C136" s="146" t="n"/>
      <c r="D136" s="146" t="n"/>
      <c r="E136" s="146" t="n"/>
      <c r="F136" s="146" t="n"/>
      <c r="G136" s="146" t="n"/>
      <c r="H136" s="147" t="n"/>
    </row>
    <row r="137" ht="42" customHeight="1" s="139">
      <c r="A137" s="152" t="n">
        <v>3</v>
      </c>
      <c r="B137" s="153" t="inlineStr">
        <is>
          <t>Gate mang tín hiệu nội dung, không chỉ độ dài (sau khi trừ độ dài vẫn đạt 0.798 trên TAD-test). Chưa loại trừ được việc gate dựa một phần vào phong cách quay (clip tai nạn cắt ghép vs video bình thường quay liên tục).</t>
        </is>
      </c>
      <c r="C137" s="146" t="n"/>
      <c r="D137" s="146" t="n"/>
      <c r="E137" s="146" t="n"/>
      <c r="F137" s="146" t="n"/>
      <c r="G137" s="146" t="n"/>
      <c r="H137" s="147" t="n"/>
    </row>
    <row r="138" ht="42" customHeight="1" s="139">
      <c r="A138" s="152" t="n">
        <v>4</v>
      </c>
      <c r="B138" s="153" t="inlineStr">
        <is>
          <t>Cập nhật nguyên nhân ở mục 9 dòng 3: A0 (không có CRN) cũng mù mức clip (0.578), nên nguyên nhân là dữ liệu T2 không có video bình thường độc lập, không phải CRN.</t>
        </is>
      </c>
      <c r="C138" s="146" t="n"/>
      <c r="D138" s="146" t="n"/>
      <c r="E138" s="146" t="n"/>
      <c r="F138" s="146" t="n"/>
      <c r="G138" s="146" t="n"/>
      <c r="H138" s="147" t="n"/>
    </row>
    <row r="139" ht="42" customHeight="1" s="139">
      <c r="A139" s="152" t="n">
        <v>5</v>
      </c>
      <c r="B139" s="153" t="inlineStr">
        <is>
          <t>Giới hạn: hệ thống hai thành phần (A3-ign + gate offline, không streaming); c không phải xác suất đã hiệu chỉnh; gate train trên 11 lớp MSAD phần lớn không phải giao thông. Recipe train v2 không đổi (vẫn A3-ign).</t>
        </is>
      </c>
      <c r="C139" s="146" t="n"/>
      <c r="D139" s="146" t="n"/>
      <c r="E139" s="146" t="n"/>
      <c r="F139" s="146" t="n"/>
      <c r="G139" s="146" t="n"/>
      <c r="H139" s="147" t="n"/>
    </row>
    <row r="140" ht="15.75" customHeight="1" s="139"/>
    <row r="141" ht="15.75" customHeight="1" s="139"/>
    <row r="142" ht="15.75" customHeight="1" s="139"/>
    <row r="143" ht="15.75" customHeight="1" s="139"/>
    <row r="144" ht="15.75" customHeight="1" s="139"/>
    <row r="145" ht="15.75" customHeight="1" s="139"/>
    <row r="146" ht="15.75" customHeight="1" s="139"/>
    <row r="147" ht="15.75" customHeight="1" s="139"/>
    <row r="148" ht="15.75" customHeight="1" s="139"/>
    <row r="149" ht="15.75" customHeight="1" s="139"/>
    <row r="150" ht="15.75" customHeight="1" s="139"/>
    <row r="151" ht="15.75" customHeight="1" s="139"/>
    <row r="152" ht="15.75" customHeight="1" s="139"/>
    <row r="153" ht="15.75" customHeight="1" s="139"/>
    <row r="154" ht="15.75" customHeight="1" s="139"/>
    <row r="155" ht="15.75" customHeight="1" s="139"/>
    <row r="156" ht="15.75" customHeight="1" s="139"/>
    <row r="157" ht="15.75" customHeight="1" s="139"/>
    <row r="158" ht="15.75" customHeight="1" s="139"/>
    <row r="159" ht="15.75" customHeight="1" s="139"/>
    <row r="160" ht="15.75" customHeight="1" s="139"/>
    <row r="161" ht="15.75" customHeight="1" s="139"/>
    <row r="162" ht="15.75" customHeight="1" s="139"/>
    <row r="163" ht="15.75" customHeight="1" s="139"/>
    <row r="164" ht="15.75" customHeight="1" s="139"/>
    <row r="165" ht="15.75" customHeight="1" s="139"/>
    <row r="166" ht="15.75" customHeight="1" s="139"/>
    <row r="167" ht="15.75" customHeight="1" s="139"/>
    <row r="168" ht="15.75" customHeight="1" s="139"/>
    <row r="169" ht="15.75" customHeight="1" s="139"/>
    <row r="170" ht="15.75" customHeight="1" s="139"/>
    <row r="171" ht="15.75" customHeight="1" s="139"/>
    <row r="172" ht="15.75" customHeight="1" s="139"/>
    <row r="173" ht="15.75" customHeight="1" s="139"/>
    <row r="174" ht="15.75" customHeight="1" s="139"/>
    <row r="175" ht="15.75" customHeight="1" s="139"/>
    <row r="176" ht="15.75" customHeight="1" s="139"/>
    <row r="177" ht="15.75" customHeight="1" s="139"/>
    <row r="178" ht="15.75" customHeight="1" s="139"/>
    <row r="179" ht="15.75" customHeight="1" s="139"/>
    <row r="180" ht="15.75" customHeight="1" s="139"/>
    <row r="181" ht="15.75" customHeight="1" s="139"/>
    <row r="182" ht="15.75" customHeight="1" s="139"/>
    <row r="183" ht="15.75" customHeight="1" s="139"/>
    <row r="184" ht="15.75" customHeight="1" s="139"/>
    <row r="185" ht="15.75" customHeight="1" s="139"/>
    <row r="186" ht="15.75" customHeight="1" s="139"/>
    <row r="187" ht="15.75" customHeight="1" s="139"/>
    <row r="188" ht="15.75" customHeight="1" s="139"/>
    <row r="189" ht="15.75" customHeight="1" s="139"/>
    <row r="190" ht="15.75" customHeight="1" s="139"/>
    <row r="191" ht="15.75" customHeight="1" s="139"/>
    <row r="192" ht="15.75" customHeight="1" s="139"/>
    <row r="193" ht="15.75" customHeight="1" s="139"/>
    <row r="194" ht="15.75" customHeight="1" s="139"/>
    <row r="195" ht="15.75" customHeight="1" s="139"/>
    <row r="196" ht="15.75" customHeight="1" s="139"/>
    <row r="197" ht="15.75" customHeight="1" s="139"/>
    <row r="198" ht="15.75" customHeight="1" s="139"/>
    <row r="199" ht="15.75" customHeight="1" s="139"/>
    <row r="200" ht="15.75" customHeight="1" s="139"/>
    <row r="201" ht="15.75" customHeight="1" s="139"/>
    <row r="202" ht="15.75" customHeight="1" s="139"/>
    <row r="203" ht="15.75" customHeight="1" s="139"/>
    <row r="204" ht="15.75" customHeight="1" s="139"/>
    <row r="205" ht="15.75" customHeight="1" s="139"/>
    <row r="206" ht="15.75" customHeight="1" s="139"/>
    <row r="207" ht="15.75" customHeight="1" s="139"/>
    <row r="208" ht="15.75" customHeight="1" s="139"/>
    <row r="209" ht="15.75" customHeight="1" s="139"/>
    <row r="210" ht="15.75" customHeight="1" s="139"/>
    <row r="211" ht="15.75" customHeight="1" s="139"/>
    <row r="212" ht="15.75" customHeight="1" s="139"/>
    <row r="213" ht="15.75" customHeight="1" s="139"/>
    <row r="214" ht="15.75" customHeight="1" s="139"/>
    <row r="215" ht="15.75" customHeight="1" s="139"/>
    <row r="216" ht="15.75" customHeight="1" s="139"/>
    <row r="217" ht="15.75" customHeight="1" s="139"/>
    <row r="218" ht="15.75" customHeight="1" s="139"/>
    <row r="219" ht="15.75" customHeight="1" s="139"/>
    <row r="220" ht="15.75" customHeight="1" s="139"/>
    <row r="221" ht="15.75" customHeight="1" s="139"/>
    <row r="222" ht="15.75" customHeight="1" s="139"/>
    <row r="223" ht="15.75" customHeight="1" s="139"/>
    <row r="224" ht="15.75" customHeight="1" s="139"/>
    <row r="225" ht="15.75" customHeight="1" s="139"/>
    <row r="226" ht="15.75" customHeight="1" s="139"/>
    <row r="227" ht="15.75" customHeight="1" s="139"/>
    <row r="228" ht="15.75" customHeight="1" s="139"/>
    <row r="229" ht="15.75" customHeight="1" s="139"/>
    <row r="230" ht="15.75" customHeight="1" s="139"/>
    <row r="231" ht="15.75" customHeight="1" s="139"/>
    <row r="232" ht="15.75" customHeight="1" s="139"/>
    <row r="233" ht="15.75" customHeight="1" s="139"/>
    <row r="234" ht="15.75" customHeight="1" s="139"/>
    <row r="235" ht="15.75" customHeight="1" s="139"/>
    <row r="236" ht="15.75" customHeight="1" s="139"/>
    <row r="237" ht="15.75" customHeight="1" s="139"/>
    <row r="238" ht="15.75" customHeight="1" s="139"/>
    <row r="239" ht="15.75" customHeight="1" s="139"/>
    <row r="240" ht="15.75" customHeight="1" s="139"/>
    <row r="241" ht="15.75" customHeight="1" s="139"/>
    <row r="242" ht="15.75" customHeight="1" s="139"/>
    <row r="243" ht="15.75" customHeight="1" s="139"/>
    <row r="244" ht="15.75" customHeight="1" s="139"/>
    <row r="245" ht="15.75" customHeight="1" s="139"/>
    <row r="246" ht="15.75" customHeight="1" s="139"/>
    <row r="247" ht="15.75" customHeight="1" s="139"/>
    <row r="248" ht="15.75" customHeight="1" s="139"/>
    <row r="249" ht="15.75" customHeight="1" s="139"/>
    <row r="250" ht="15.75" customHeight="1" s="139"/>
    <row r="251" ht="15.75" customHeight="1" s="139"/>
    <row r="252" ht="15.75" customHeight="1" s="139"/>
    <row r="253" ht="15.75" customHeight="1" s="139"/>
    <row r="254" ht="15.75" customHeight="1" s="139"/>
    <row r="255" ht="15.75" customHeight="1" s="139"/>
    <row r="256" ht="15.75" customHeight="1" s="139"/>
    <row r="257" ht="15.75" customHeight="1" s="139"/>
    <row r="258" ht="15.75" customHeight="1" s="139"/>
    <row r="259" ht="15.75" customHeight="1" s="139"/>
    <row r="260" ht="15.75" customHeight="1" s="139"/>
    <row r="261" ht="15.75" customHeight="1" s="139"/>
    <row r="262" ht="15.75" customHeight="1" s="139"/>
    <row r="263" ht="15.75" customHeight="1" s="139"/>
    <row r="264" ht="15.75" customHeight="1" s="139"/>
    <row r="265" ht="15.75" customHeight="1" s="139"/>
    <row r="266" ht="15.75" customHeight="1" s="139"/>
    <row r="267" ht="15.75" customHeight="1" s="139"/>
    <row r="268" ht="15.75" customHeight="1" s="139"/>
    <row r="269" ht="15.75" customHeight="1" s="139"/>
    <row r="270" ht="15.75" customHeight="1" s="139"/>
    <row r="271" ht="15.75" customHeight="1" s="139"/>
    <row r="272" ht="15.75" customHeight="1" s="139"/>
    <row r="273" ht="15.75" customHeight="1" s="139"/>
    <row r="274" ht="15.75" customHeight="1" s="139"/>
    <row r="275" ht="15.75" customHeight="1" s="139"/>
    <row r="276" ht="15.75" customHeight="1" s="139"/>
    <row r="277" ht="15.75" customHeight="1" s="139"/>
    <row r="278" ht="15.75" customHeight="1" s="139"/>
    <row r="279" ht="15.75" customHeight="1" s="139"/>
    <row r="280" ht="15.75" customHeight="1" s="139"/>
    <row r="281" ht="15.75" customHeight="1" s="139"/>
    <row r="282" ht="15.75" customHeight="1" s="139"/>
    <row r="283" ht="15.75" customHeight="1" s="139"/>
    <row r="284" ht="15.75" customHeight="1" s="139"/>
    <row r="285" ht="15.75" customHeight="1" s="139"/>
    <row r="286" ht="15.75" customHeight="1" s="139"/>
    <row r="287" ht="15.75" customHeight="1" s="139"/>
    <row r="288" ht="15.75" customHeight="1" s="139"/>
    <row r="289" ht="15.75" customHeight="1" s="139"/>
    <row r="290" ht="15.75" customHeight="1" s="139"/>
    <row r="291" ht="15.75" customHeight="1" s="139"/>
    <row r="292" ht="15.75" customHeight="1" s="139"/>
    <row r="293" ht="15.75" customHeight="1" s="139"/>
    <row r="294" ht="15.75" customHeight="1" s="139"/>
    <row r="295" ht="15.75" customHeight="1" s="139"/>
    <row r="296" ht="15.75" customHeight="1" s="139"/>
    <row r="297" ht="15.75" customHeight="1" s="139"/>
    <row r="298" ht="15.75" customHeight="1" s="139"/>
    <row r="299" ht="15.75" customHeight="1" s="139"/>
    <row r="300" ht="15.75" customHeight="1" s="139"/>
    <row r="301" ht="15.75" customHeight="1" s="139"/>
    <row r="302" ht="15.75" customHeight="1" s="139"/>
    <row r="303" ht="15.75" customHeight="1" s="139"/>
    <row r="304" ht="15.75" customHeight="1" s="139"/>
    <row r="305" ht="15.75" customHeight="1" s="139"/>
    <row r="306" ht="15.75" customHeight="1" s="139"/>
    <row r="307" ht="15.75" customHeight="1" s="139"/>
    <row r="308" ht="15.75" customHeight="1" s="139"/>
    <row r="309" ht="15.75" customHeight="1" s="139"/>
    <row r="310" ht="15.75" customHeight="1" s="139"/>
    <row r="311" ht="15.75" customHeight="1" s="139"/>
    <row r="312" ht="15.75" customHeight="1" s="139"/>
    <row r="313" ht="15.75" customHeight="1" s="139"/>
    <row r="314" ht="15.75" customHeight="1" s="139"/>
    <row r="315" ht="15.75" customHeight="1" s="139"/>
    <row r="316" ht="15.75" customHeight="1" s="139"/>
    <row r="317" ht="15.75" customHeight="1" s="139"/>
    <row r="318" ht="15.75" customHeight="1" s="139"/>
    <row r="319" ht="15.75" customHeight="1" s="139"/>
    <row r="320" ht="15.75" customHeight="1" s="139"/>
    <row r="321" ht="15.75" customHeight="1" s="139"/>
    <row r="322" ht="15.75" customHeight="1" s="139"/>
    <row r="323" ht="15.75" customHeight="1" s="139"/>
    <row r="324" ht="15.75" customHeight="1" s="139"/>
    <row r="325" ht="15.75" customHeight="1" s="139"/>
    <row r="326" ht="15.75" customHeight="1" s="139"/>
    <row r="327" ht="15.75" customHeight="1" s="139"/>
    <row r="328" ht="15.75" customHeight="1" s="139"/>
    <row r="329" ht="15.75" customHeight="1" s="139"/>
    <row r="330" ht="15.75" customHeight="1" s="139"/>
    <row r="331" ht="15.75" customHeight="1" s="139"/>
    <row r="332" ht="15.75" customHeight="1" s="139"/>
    <row r="333" ht="15.75" customHeight="1" s="139"/>
    <row r="334" ht="15.75" customHeight="1" s="139"/>
    <row r="335" ht="15.75" customHeight="1" s="139"/>
    <row r="336" ht="15.75" customHeight="1" s="139"/>
    <row r="337" ht="15.75" customHeight="1" s="139"/>
    <row r="338" ht="15.75" customHeight="1" s="139"/>
    <row r="339" ht="15.75" customHeight="1" s="139"/>
    <row r="340" ht="15.75" customHeight="1" s="139"/>
    <row r="341" ht="15.75" customHeight="1" s="139"/>
    <row r="342" ht="15.75" customHeight="1" s="139"/>
    <row r="343" ht="15.75" customHeight="1" s="139"/>
    <row r="344" ht="15.75" customHeight="1" s="139"/>
    <row r="345" ht="15.75" customHeight="1" s="139"/>
    <row r="346" ht="15.75" customHeight="1" s="139"/>
    <row r="347" ht="15.75" customHeight="1" s="139"/>
    <row r="348" ht="15.75" customHeight="1" s="139"/>
    <row r="349" ht="15.75" customHeight="1" s="139"/>
    <row r="350" ht="15.75" customHeight="1" s="139"/>
    <row r="351" ht="15.75" customHeight="1" s="139"/>
    <row r="352" ht="15.75" customHeight="1" s="139"/>
    <row r="353" ht="15.75" customHeight="1" s="139"/>
    <row r="354" ht="15.75" customHeight="1" s="139"/>
    <row r="355" ht="15.75" customHeight="1" s="139"/>
    <row r="356" ht="15.75" customHeight="1" s="139"/>
    <row r="357" ht="15.75" customHeight="1" s="139"/>
    <row r="358" ht="15.75" customHeight="1" s="139"/>
    <row r="359" ht="15.75" customHeight="1" s="139"/>
    <row r="360" ht="15.75" customHeight="1" s="139"/>
    <row r="361" ht="15.75" customHeight="1" s="139"/>
    <row r="362" ht="15.75" customHeight="1" s="139"/>
    <row r="363" ht="15.75" customHeight="1" s="139"/>
    <row r="364" ht="15.75" customHeight="1" s="139"/>
    <row r="365" ht="15.75" customHeight="1" s="139"/>
    <row r="366" ht="15.75" customHeight="1" s="139"/>
    <row r="367" ht="15.75" customHeight="1" s="139"/>
    <row r="368" ht="15.75" customHeight="1" s="139"/>
    <row r="369" ht="15.75" customHeight="1" s="139"/>
    <row r="370" ht="15.75" customHeight="1" s="139"/>
    <row r="371" ht="15.75" customHeight="1" s="139"/>
    <row r="372" ht="15.75" customHeight="1" s="139"/>
    <row r="373" ht="15.75" customHeight="1" s="139"/>
    <row r="374" ht="15.75" customHeight="1" s="139"/>
    <row r="375" ht="15.75" customHeight="1" s="139"/>
    <row r="376" ht="15.75" customHeight="1" s="139"/>
    <row r="377" ht="15.75" customHeight="1" s="139"/>
    <row r="378" ht="15.75" customHeight="1" s="139"/>
    <row r="379" ht="15.75" customHeight="1" s="139"/>
    <row r="380" ht="15.75" customHeight="1" s="139"/>
    <row r="381" ht="15.75" customHeight="1" s="139"/>
    <row r="382" ht="15.75" customHeight="1" s="139"/>
    <row r="383" ht="15.75" customHeight="1" s="139"/>
    <row r="384" ht="15.75" customHeight="1" s="139"/>
    <row r="385" ht="15.75" customHeight="1" s="139"/>
    <row r="386" ht="15.75" customHeight="1" s="139"/>
    <row r="387" ht="15.75" customHeight="1" s="139"/>
    <row r="388" ht="15.75" customHeight="1" s="139"/>
    <row r="389" ht="15.75" customHeight="1" s="139"/>
    <row r="390" ht="15.75" customHeight="1" s="139"/>
    <row r="391" ht="15.75" customHeight="1" s="139"/>
    <row r="392" ht="15.75" customHeight="1" s="139"/>
    <row r="393" ht="15.75" customHeight="1" s="139"/>
    <row r="394" ht="15.75" customHeight="1" s="139"/>
    <row r="395" ht="15.75" customHeight="1" s="139"/>
    <row r="396" ht="15.75" customHeight="1" s="139"/>
    <row r="397" ht="15.75" customHeight="1" s="139"/>
    <row r="398" ht="15.75" customHeight="1" s="139"/>
    <row r="399" ht="15.75" customHeight="1" s="139"/>
    <row r="400" ht="15.75" customHeight="1" s="139"/>
    <row r="401" ht="15.75" customHeight="1" s="139"/>
    <row r="402" ht="15.75" customHeight="1" s="139"/>
    <row r="403" ht="15.75" customHeight="1" s="139"/>
    <row r="404" ht="15.75" customHeight="1" s="139"/>
    <row r="405" ht="15.75" customHeight="1" s="139"/>
    <row r="406" ht="15.75" customHeight="1" s="139"/>
    <row r="407" ht="15.75" customHeight="1" s="139"/>
    <row r="408" ht="15.75" customHeight="1" s="139"/>
    <row r="409" ht="15.75" customHeight="1" s="139"/>
    <row r="410" ht="15.75" customHeight="1" s="139"/>
    <row r="411" ht="15.75" customHeight="1" s="139"/>
    <row r="412" ht="15.75" customHeight="1" s="139"/>
    <row r="413" ht="15.75" customHeight="1" s="139"/>
    <row r="414" ht="15.75" customHeight="1" s="139"/>
    <row r="415" ht="15.75" customHeight="1" s="139"/>
    <row r="416" ht="15.75" customHeight="1" s="139"/>
    <row r="417" ht="15.75" customHeight="1" s="139"/>
    <row r="418" ht="15.75" customHeight="1" s="139"/>
    <row r="419" ht="15.75" customHeight="1" s="139"/>
    <row r="420" ht="15.75" customHeight="1" s="139"/>
    <row r="421" ht="15.75" customHeight="1" s="139"/>
    <row r="422" ht="15.75" customHeight="1" s="139"/>
    <row r="423" ht="15.75" customHeight="1" s="139"/>
    <row r="424" ht="15.75" customHeight="1" s="139"/>
    <row r="425" ht="15.75" customHeight="1" s="139"/>
    <row r="426" ht="15.75" customHeight="1" s="139"/>
    <row r="427" ht="15.75" customHeight="1" s="139"/>
    <row r="428" ht="15.75" customHeight="1" s="139"/>
    <row r="429" ht="15.75" customHeight="1" s="139"/>
    <row r="430" ht="15.75" customHeight="1" s="139"/>
    <row r="431" ht="15.75" customHeight="1" s="139"/>
    <row r="432" ht="15.75" customHeight="1" s="139"/>
    <row r="433" ht="15.75" customHeight="1" s="139"/>
    <row r="434" ht="15.75" customHeight="1" s="139"/>
    <row r="435" ht="15.75" customHeight="1" s="139"/>
    <row r="436" ht="15.75" customHeight="1" s="139"/>
    <row r="437" ht="15.75" customHeight="1" s="139"/>
    <row r="438" ht="15.75" customHeight="1" s="139"/>
    <row r="439" ht="15.75" customHeight="1" s="139"/>
    <row r="440" ht="15.75" customHeight="1" s="139"/>
    <row r="441" ht="15.75" customHeight="1" s="139"/>
    <row r="442" ht="15.75" customHeight="1" s="139"/>
    <row r="443" ht="15.75" customHeight="1" s="139"/>
    <row r="444" ht="15.75" customHeight="1" s="139"/>
    <row r="445" ht="15.75" customHeight="1" s="139"/>
    <row r="446" ht="15.75" customHeight="1" s="139"/>
    <row r="447" ht="15.75" customHeight="1" s="139"/>
    <row r="448" ht="15.75" customHeight="1" s="139"/>
    <row r="449" ht="15.75" customHeight="1" s="139"/>
    <row r="450" ht="15.75" customHeight="1" s="139"/>
    <row r="451" ht="15.75" customHeight="1" s="139"/>
    <row r="452" ht="15.75" customHeight="1" s="139"/>
    <row r="453" ht="15.75" customHeight="1" s="139"/>
    <row r="454" ht="15.75" customHeight="1" s="139"/>
    <row r="455" ht="15.75" customHeight="1" s="139"/>
    <row r="456" ht="15.75" customHeight="1" s="139"/>
    <row r="457" ht="15.75" customHeight="1" s="139"/>
    <row r="458" ht="15.75" customHeight="1" s="139"/>
    <row r="459" ht="15.75" customHeight="1" s="139"/>
    <row r="460" ht="15.75" customHeight="1" s="139"/>
    <row r="461" ht="15.75" customHeight="1" s="139"/>
    <row r="462" ht="15.75" customHeight="1" s="139"/>
    <row r="463" ht="15.75" customHeight="1" s="139"/>
    <row r="464" ht="15.75" customHeight="1" s="139"/>
    <row r="465" ht="15.75" customHeight="1" s="139"/>
    <row r="466" ht="15.75" customHeight="1" s="139"/>
    <row r="467" ht="15.75" customHeight="1" s="139"/>
    <row r="468" ht="15.75" customHeight="1" s="139"/>
    <row r="469" ht="15.75" customHeight="1" s="139"/>
    <row r="470" ht="15.75" customHeight="1" s="139"/>
    <row r="471" ht="15.75" customHeight="1" s="139"/>
    <row r="472" ht="15.75" customHeight="1" s="139"/>
    <row r="473" ht="15.75" customHeight="1" s="139"/>
    <row r="474" ht="15.75" customHeight="1" s="139"/>
    <row r="475" ht="15.75" customHeight="1" s="139"/>
    <row r="476" ht="15.75" customHeight="1" s="139"/>
    <row r="477" ht="15.75" customHeight="1" s="139"/>
    <row r="478" ht="15.75" customHeight="1" s="139"/>
    <row r="479" ht="15.75" customHeight="1" s="139"/>
    <row r="480" ht="15.75" customHeight="1" s="139"/>
    <row r="481" ht="15.75" customHeight="1" s="139"/>
    <row r="482" ht="15.75" customHeight="1" s="139"/>
    <row r="483" ht="15.75" customHeight="1" s="139"/>
    <row r="484" ht="15.75" customHeight="1" s="139"/>
    <row r="485" ht="15.75" customHeight="1" s="139"/>
    <row r="486" ht="15.75" customHeight="1" s="139"/>
    <row r="487" ht="15.75" customHeight="1" s="139"/>
    <row r="488" ht="15.75" customHeight="1" s="139"/>
    <row r="489" ht="15.75" customHeight="1" s="139"/>
    <row r="490" ht="15.75" customHeight="1" s="139"/>
    <row r="491" ht="15.75" customHeight="1" s="139"/>
    <row r="492" ht="15.75" customHeight="1" s="139"/>
    <row r="493" ht="15.75" customHeight="1" s="139"/>
    <row r="494" ht="15.75" customHeight="1" s="139"/>
    <row r="495" ht="15.75" customHeight="1" s="139"/>
    <row r="496" ht="15.75" customHeight="1" s="139"/>
    <row r="497" ht="15.75" customHeight="1" s="139"/>
    <row r="498" ht="15.75" customHeight="1" s="139"/>
    <row r="499" ht="15.75" customHeight="1" s="139"/>
    <row r="500" ht="15.75" customHeight="1" s="139"/>
    <row r="501" ht="15.75" customHeight="1" s="139"/>
    <row r="502" ht="15.75" customHeight="1" s="139"/>
    <row r="503" ht="15.75" customHeight="1" s="139"/>
    <row r="504" ht="15.75" customHeight="1" s="139"/>
    <row r="505" ht="15.75" customHeight="1" s="139"/>
    <row r="506" ht="15.75" customHeight="1" s="139"/>
    <row r="507" ht="15.75" customHeight="1" s="139"/>
    <row r="508" ht="15.75" customHeight="1" s="139"/>
    <row r="509" ht="15.75" customHeight="1" s="139"/>
    <row r="510" ht="15.75" customHeight="1" s="139"/>
    <row r="511" ht="15.75" customHeight="1" s="139"/>
    <row r="512" ht="15.75" customHeight="1" s="139"/>
    <row r="513" ht="15.75" customHeight="1" s="139"/>
    <row r="514" ht="15.75" customHeight="1" s="139"/>
    <row r="515" ht="15.75" customHeight="1" s="139"/>
    <row r="516" ht="15.75" customHeight="1" s="139"/>
    <row r="517" ht="15.75" customHeight="1" s="139"/>
    <row r="518" ht="15.75" customHeight="1" s="139"/>
    <row r="519" ht="15.75" customHeight="1" s="139"/>
    <row r="520" ht="15.75" customHeight="1" s="139"/>
    <row r="521" ht="15.75" customHeight="1" s="139"/>
    <row r="522" ht="15.75" customHeight="1" s="139"/>
    <row r="523" ht="15.75" customHeight="1" s="139"/>
    <row r="524" ht="15.75" customHeight="1" s="139"/>
    <row r="525" ht="15.75" customHeight="1" s="139"/>
    <row r="526" ht="15.75" customHeight="1" s="139"/>
    <row r="527" ht="15.75" customHeight="1" s="139"/>
    <row r="528" ht="15.75" customHeight="1" s="139"/>
    <row r="529" ht="15.75" customHeight="1" s="139"/>
    <row r="530" ht="15.75" customHeight="1" s="139"/>
    <row r="531" ht="15.75" customHeight="1" s="139"/>
    <row r="532" ht="15.75" customHeight="1" s="139"/>
    <row r="533" ht="15.75" customHeight="1" s="139"/>
    <row r="534" ht="15.75" customHeight="1" s="139"/>
    <row r="535" ht="15.75" customHeight="1" s="139"/>
    <row r="536" ht="15.75" customHeight="1" s="139"/>
    <row r="537" ht="15.75" customHeight="1" s="139"/>
    <row r="538" ht="15.75" customHeight="1" s="139"/>
    <row r="539" ht="15.75" customHeight="1" s="139"/>
    <row r="540" ht="15.75" customHeight="1" s="139"/>
    <row r="541" ht="15.75" customHeight="1" s="139"/>
    <row r="542" ht="15.75" customHeight="1" s="139"/>
    <row r="543" ht="15.75" customHeight="1" s="139"/>
    <row r="544" ht="15.75" customHeight="1" s="139"/>
    <row r="545" ht="15.75" customHeight="1" s="139"/>
    <row r="546" ht="15.75" customHeight="1" s="139"/>
    <row r="547" ht="15.75" customHeight="1" s="139"/>
    <row r="548" ht="15.75" customHeight="1" s="139"/>
    <row r="549" ht="15.75" customHeight="1" s="139"/>
    <row r="550" ht="15.75" customHeight="1" s="139"/>
    <row r="551" ht="15.75" customHeight="1" s="139"/>
    <row r="552" ht="15.75" customHeight="1" s="139"/>
    <row r="553" ht="15.75" customHeight="1" s="139"/>
    <row r="554" ht="15.75" customHeight="1" s="139"/>
    <row r="555" ht="15.75" customHeight="1" s="139"/>
    <row r="556" ht="15.75" customHeight="1" s="139"/>
    <row r="557" ht="15.75" customHeight="1" s="139"/>
    <row r="558" ht="15.75" customHeight="1" s="139"/>
    <row r="559" ht="15.75" customHeight="1" s="139"/>
    <row r="560" ht="15.75" customHeight="1" s="139"/>
    <row r="561" ht="15.75" customHeight="1" s="139"/>
    <row r="562" ht="15.75" customHeight="1" s="139"/>
    <row r="563" ht="15.75" customHeight="1" s="139"/>
    <row r="564" ht="15.75" customHeight="1" s="139"/>
    <row r="565" ht="15.75" customHeight="1" s="139"/>
    <row r="566" ht="15.75" customHeight="1" s="139"/>
    <row r="567" ht="15.75" customHeight="1" s="139"/>
    <row r="568" ht="15.75" customHeight="1" s="139"/>
    <row r="569" ht="15.75" customHeight="1" s="139"/>
    <row r="570" ht="15.75" customHeight="1" s="139"/>
    <row r="571" ht="15.75" customHeight="1" s="139"/>
    <row r="572" ht="15.75" customHeight="1" s="139"/>
    <row r="573" ht="15.75" customHeight="1" s="139"/>
    <row r="574" ht="15.75" customHeight="1" s="139"/>
    <row r="575" ht="15.75" customHeight="1" s="139"/>
    <row r="576" ht="15.75" customHeight="1" s="139"/>
    <row r="577" ht="15.75" customHeight="1" s="139"/>
    <row r="578" ht="15.75" customHeight="1" s="139"/>
    <row r="579" ht="15.75" customHeight="1" s="139"/>
    <row r="580" ht="15.75" customHeight="1" s="139"/>
    <row r="581" ht="15.75" customHeight="1" s="139"/>
    <row r="582" ht="15.75" customHeight="1" s="139"/>
    <row r="583" ht="15.75" customHeight="1" s="139"/>
    <row r="584" ht="15.75" customHeight="1" s="139"/>
    <row r="585" ht="15.75" customHeight="1" s="139"/>
    <row r="586" ht="15.75" customHeight="1" s="139"/>
    <row r="587" ht="15.75" customHeight="1" s="139"/>
    <row r="588" ht="15.75" customHeight="1" s="139"/>
    <row r="589" ht="15.75" customHeight="1" s="139"/>
    <row r="590" ht="15.75" customHeight="1" s="139"/>
    <row r="591" ht="15.75" customHeight="1" s="139"/>
    <row r="592" ht="15.75" customHeight="1" s="139"/>
    <row r="593" ht="15.75" customHeight="1" s="139"/>
    <row r="594" ht="15.75" customHeight="1" s="139"/>
    <row r="595" ht="15.75" customHeight="1" s="139"/>
    <row r="596" ht="15.75" customHeight="1" s="139"/>
    <row r="597" ht="15.75" customHeight="1" s="139"/>
    <row r="598" ht="15.75" customHeight="1" s="139"/>
    <row r="599" ht="15.75" customHeight="1" s="139"/>
    <row r="600" ht="15.75" customHeight="1" s="139"/>
    <row r="601" ht="15.75" customHeight="1" s="139"/>
    <row r="602" ht="15.75" customHeight="1" s="139"/>
    <row r="603" ht="15.75" customHeight="1" s="139"/>
    <row r="604" ht="15.75" customHeight="1" s="139"/>
    <row r="605" ht="15.75" customHeight="1" s="139"/>
    <row r="606" ht="15.75" customHeight="1" s="139"/>
    <row r="607" ht="15.75" customHeight="1" s="139"/>
    <row r="608" ht="15.75" customHeight="1" s="139"/>
    <row r="609" ht="15.75" customHeight="1" s="139"/>
    <row r="610" ht="15.75" customHeight="1" s="139"/>
    <row r="611" ht="15.75" customHeight="1" s="139"/>
    <row r="612" ht="15.75" customHeight="1" s="139"/>
    <row r="613" ht="15.75" customHeight="1" s="139"/>
    <row r="614" ht="15.75" customHeight="1" s="139"/>
    <row r="615" ht="15.75" customHeight="1" s="139"/>
    <row r="616" ht="15.75" customHeight="1" s="139"/>
    <row r="617" ht="15.75" customHeight="1" s="139"/>
    <row r="618" ht="15.75" customHeight="1" s="139"/>
    <row r="619" ht="15.75" customHeight="1" s="139"/>
    <row r="620" ht="15.75" customHeight="1" s="139"/>
    <row r="621" ht="15.75" customHeight="1" s="139"/>
    <row r="622" ht="15.75" customHeight="1" s="139"/>
    <row r="623" ht="15.75" customHeight="1" s="139"/>
    <row r="624" ht="15.75" customHeight="1" s="139"/>
    <row r="625" ht="15.75" customHeight="1" s="139"/>
    <row r="626" ht="15.75" customHeight="1" s="139"/>
    <row r="627" ht="15.75" customHeight="1" s="139"/>
    <row r="628" ht="15.75" customHeight="1" s="139"/>
    <row r="629" ht="15.75" customHeight="1" s="139"/>
    <row r="630" ht="15.75" customHeight="1" s="139"/>
    <row r="631" ht="15.75" customHeight="1" s="139"/>
    <row r="632" ht="15.75" customHeight="1" s="139"/>
    <row r="633" ht="15.75" customHeight="1" s="139"/>
    <row r="634" ht="15.75" customHeight="1" s="139"/>
    <row r="635" ht="15.75" customHeight="1" s="139"/>
    <row r="636" ht="15.75" customHeight="1" s="139"/>
    <row r="637" ht="15.75" customHeight="1" s="139"/>
    <row r="638" ht="15.75" customHeight="1" s="139"/>
    <row r="639" ht="15.75" customHeight="1" s="139"/>
    <row r="640" ht="15.75" customHeight="1" s="139"/>
    <row r="641" ht="15.75" customHeight="1" s="139"/>
    <row r="642" ht="15.75" customHeight="1" s="139"/>
    <row r="643" ht="15.75" customHeight="1" s="139"/>
    <row r="644" ht="15.75" customHeight="1" s="139"/>
    <row r="645" ht="15.75" customHeight="1" s="139"/>
    <row r="646" ht="15.75" customHeight="1" s="139"/>
    <row r="647" ht="15.75" customHeight="1" s="139"/>
    <row r="648" ht="15.75" customHeight="1" s="139"/>
    <row r="649" ht="15.75" customHeight="1" s="139"/>
    <row r="650" ht="15.75" customHeight="1" s="139"/>
    <row r="651" ht="15.75" customHeight="1" s="139"/>
    <row r="652" ht="15.75" customHeight="1" s="139"/>
    <row r="653" ht="15.75" customHeight="1" s="139"/>
    <row r="654" ht="15.75" customHeight="1" s="139"/>
    <row r="655" ht="15.75" customHeight="1" s="139"/>
    <row r="656" ht="15.75" customHeight="1" s="139"/>
    <row r="657" ht="15.75" customHeight="1" s="139"/>
    <row r="658" ht="15.75" customHeight="1" s="139"/>
    <row r="659" ht="15.75" customHeight="1" s="139"/>
    <row r="660" ht="15.75" customHeight="1" s="139"/>
    <row r="661" ht="15.75" customHeight="1" s="139"/>
    <row r="662" ht="15.75" customHeight="1" s="139"/>
    <row r="663" ht="15.75" customHeight="1" s="139"/>
    <row r="664" ht="15.75" customHeight="1" s="139"/>
    <row r="665" ht="15.75" customHeight="1" s="139"/>
    <row r="666" ht="15.75" customHeight="1" s="139"/>
    <row r="667" ht="15.75" customHeight="1" s="139"/>
    <row r="668" ht="15.75" customHeight="1" s="139"/>
    <row r="669" ht="15.75" customHeight="1" s="139"/>
    <row r="670" ht="15.75" customHeight="1" s="139"/>
    <row r="671" ht="15.75" customHeight="1" s="139"/>
    <row r="672" ht="15.75" customHeight="1" s="139"/>
    <row r="673" ht="15.75" customHeight="1" s="139"/>
    <row r="674" ht="15.75" customHeight="1" s="139"/>
    <row r="675" ht="15.75" customHeight="1" s="139"/>
    <row r="676" ht="15.75" customHeight="1" s="139"/>
    <row r="677" ht="15.75" customHeight="1" s="139"/>
    <row r="678" ht="15.75" customHeight="1" s="139"/>
    <row r="679" ht="15.75" customHeight="1" s="139"/>
    <row r="680" ht="15.75" customHeight="1" s="139"/>
    <row r="681" ht="15.75" customHeight="1" s="139"/>
    <row r="682" ht="15.75" customHeight="1" s="139"/>
    <row r="683" ht="15.75" customHeight="1" s="139"/>
    <row r="684" ht="15.75" customHeight="1" s="139"/>
    <row r="685" ht="15.75" customHeight="1" s="139"/>
    <row r="686" ht="15.75" customHeight="1" s="139"/>
    <row r="687" ht="15.75" customHeight="1" s="139"/>
    <row r="688" ht="15.75" customHeight="1" s="139"/>
    <row r="689" ht="15.75" customHeight="1" s="139"/>
    <row r="690" ht="15.75" customHeight="1" s="139"/>
    <row r="691" ht="15.75" customHeight="1" s="139"/>
    <row r="692" ht="15.75" customHeight="1" s="139"/>
    <row r="693" ht="15.75" customHeight="1" s="139"/>
    <row r="694" ht="15.75" customHeight="1" s="139"/>
    <row r="695" ht="15.75" customHeight="1" s="139"/>
    <row r="696" ht="15.75" customHeight="1" s="139"/>
    <row r="697" ht="15.75" customHeight="1" s="139"/>
    <row r="698" ht="15.75" customHeight="1" s="139"/>
    <row r="699" ht="15.75" customHeight="1" s="139"/>
    <row r="700" ht="15.75" customHeight="1" s="139"/>
    <row r="701" ht="15.75" customHeight="1" s="139"/>
    <row r="702" ht="15.75" customHeight="1" s="139"/>
    <row r="703" ht="15.75" customHeight="1" s="139"/>
    <row r="704" ht="15.75" customHeight="1" s="139"/>
    <row r="705" ht="15.75" customHeight="1" s="139"/>
    <row r="706" ht="15.75" customHeight="1" s="139"/>
    <row r="707" ht="15.75" customHeight="1" s="139"/>
    <row r="708" ht="15.75" customHeight="1" s="139"/>
    <row r="709" ht="15.75" customHeight="1" s="139"/>
    <row r="710" ht="15.75" customHeight="1" s="139"/>
    <row r="711" ht="15.75" customHeight="1" s="139"/>
    <row r="712" ht="15.75" customHeight="1" s="139"/>
    <row r="713" ht="15.75" customHeight="1" s="139"/>
    <row r="714" ht="15.75" customHeight="1" s="139"/>
    <row r="715" ht="15.75" customHeight="1" s="139"/>
    <row r="716" ht="15.75" customHeight="1" s="139"/>
    <row r="717" ht="15.75" customHeight="1" s="139"/>
    <row r="718" ht="15.75" customHeight="1" s="139"/>
    <row r="719" ht="15.75" customHeight="1" s="139"/>
    <row r="720" ht="15.75" customHeight="1" s="139"/>
    <row r="721" ht="15.75" customHeight="1" s="139"/>
    <row r="722" ht="15.75" customHeight="1" s="139"/>
    <row r="723" ht="15.75" customHeight="1" s="139"/>
    <row r="724" ht="15.75" customHeight="1" s="139"/>
    <row r="725" ht="15.75" customHeight="1" s="139"/>
    <row r="726" ht="15.75" customHeight="1" s="139"/>
    <row r="727" ht="15.75" customHeight="1" s="139"/>
    <row r="728" ht="15.75" customHeight="1" s="139"/>
    <row r="729" ht="15.75" customHeight="1" s="139"/>
    <row r="730" ht="15.75" customHeight="1" s="139"/>
    <row r="731" ht="15.75" customHeight="1" s="139"/>
    <row r="732" ht="15.75" customHeight="1" s="139"/>
    <row r="733" ht="15.75" customHeight="1" s="139"/>
    <row r="734" ht="15.75" customHeight="1" s="139"/>
    <row r="735" ht="15.75" customHeight="1" s="139"/>
    <row r="736" ht="15.75" customHeight="1" s="139"/>
    <row r="737" ht="15.75" customHeight="1" s="139"/>
    <row r="738" ht="15.75" customHeight="1" s="139"/>
    <row r="739" ht="15.75" customHeight="1" s="139"/>
    <row r="740" ht="15.75" customHeight="1" s="139"/>
    <row r="741" ht="15.75" customHeight="1" s="139"/>
    <row r="742" ht="15.75" customHeight="1" s="139"/>
    <row r="743" ht="15.75" customHeight="1" s="139"/>
    <row r="744" ht="15.75" customHeight="1" s="139"/>
    <row r="745" ht="15.75" customHeight="1" s="139"/>
    <row r="746" ht="15.75" customHeight="1" s="139"/>
    <row r="747" ht="15.75" customHeight="1" s="139"/>
    <row r="748" ht="15.75" customHeight="1" s="139"/>
    <row r="749" ht="15.75" customHeight="1" s="139"/>
    <row r="750" ht="15.75" customHeight="1" s="139"/>
    <row r="751" ht="15.75" customHeight="1" s="139"/>
    <row r="752" ht="15.75" customHeight="1" s="139"/>
    <row r="753" ht="15.75" customHeight="1" s="139"/>
    <row r="754" ht="15.75" customHeight="1" s="139"/>
    <row r="755" ht="15.75" customHeight="1" s="139"/>
    <row r="756" ht="15.75" customHeight="1" s="139"/>
    <row r="757" ht="15.75" customHeight="1" s="139"/>
    <row r="758" ht="15.75" customHeight="1" s="139"/>
    <row r="759" ht="15.75" customHeight="1" s="139"/>
    <row r="760" ht="15.75" customHeight="1" s="139"/>
    <row r="761" ht="15.75" customHeight="1" s="139"/>
    <row r="762" ht="15.75" customHeight="1" s="139"/>
    <row r="763" ht="15.75" customHeight="1" s="139"/>
    <row r="764" ht="15.75" customHeight="1" s="139"/>
    <row r="765" ht="15.75" customHeight="1" s="139"/>
    <row r="766" ht="15.75" customHeight="1" s="139"/>
    <row r="767" ht="15.75" customHeight="1" s="139"/>
    <row r="768" ht="15.75" customHeight="1" s="139"/>
    <row r="769" ht="15.75" customHeight="1" s="139"/>
    <row r="770" ht="15.75" customHeight="1" s="139"/>
    <row r="771" ht="15.75" customHeight="1" s="139"/>
    <row r="772" ht="15.75" customHeight="1" s="139"/>
    <row r="773" ht="15.75" customHeight="1" s="139"/>
    <row r="774" ht="15.75" customHeight="1" s="139"/>
    <row r="775" ht="15.75" customHeight="1" s="139"/>
    <row r="776" ht="15.75" customHeight="1" s="139"/>
    <row r="777" ht="15.75" customHeight="1" s="139"/>
    <row r="778" ht="15.75" customHeight="1" s="139"/>
    <row r="779" ht="15.75" customHeight="1" s="139"/>
    <row r="780" ht="15.75" customHeight="1" s="139"/>
    <row r="781" ht="15.75" customHeight="1" s="139"/>
    <row r="782" ht="15.75" customHeight="1" s="139"/>
    <row r="783" ht="15.75" customHeight="1" s="139"/>
    <row r="784" ht="15.75" customHeight="1" s="139"/>
    <row r="785" ht="15.75" customHeight="1" s="139"/>
    <row r="786" ht="15.75" customHeight="1" s="139"/>
    <row r="787" ht="15.75" customHeight="1" s="139"/>
    <row r="788" ht="15.75" customHeight="1" s="139"/>
    <row r="789" ht="15.75" customHeight="1" s="139"/>
    <row r="790" ht="15.75" customHeight="1" s="139"/>
    <row r="791" ht="15.75" customHeight="1" s="139"/>
    <row r="792" ht="15.75" customHeight="1" s="139"/>
    <row r="793" ht="15.75" customHeight="1" s="139"/>
    <row r="794" ht="15.75" customHeight="1" s="139"/>
    <row r="795" ht="15.75" customHeight="1" s="139"/>
    <row r="796" ht="15.75" customHeight="1" s="139"/>
    <row r="797" ht="15.75" customHeight="1" s="139"/>
    <row r="798" ht="15.75" customHeight="1" s="139"/>
    <row r="799" ht="15.75" customHeight="1" s="139"/>
    <row r="800" ht="15.75" customHeight="1" s="139"/>
    <row r="801" ht="15.75" customHeight="1" s="139"/>
    <row r="802" ht="15.75" customHeight="1" s="139"/>
    <row r="803" ht="15.75" customHeight="1" s="139"/>
    <row r="804" ht="15.75" customHeight="1" s="139"/>
    <row r="805" ht="15.75" customHeight="1" s="139"/>
    <row r="806" ht="15.75" customHeight="1" s="139"/>
    <row r="807" ht="15.75" customHeight="1" s="139"/>
    <row r="808" ht="15.75" customHeight="1" s="139"/>
    <row r="809" ht="15.75" customHeight="1" s="139"/>
    <row r="810" ht="15.75" customHeight="1" s="139"/>
    <row r="811" ht="15.75" customHeight="1" s="139"/>
    <row r="812" ht="15.75" customHeight="1" s="139"/>
    <row r="813" ht="15.75" customHeight="1" s="139"/>
    <row r="814" ht="15.75" customHeight="1" s="139"/>
    <row r="815" ht="15.75" customHeight="1" s="139"/>
    <row r="816" ht="15.75" customHeight="1" s="139"/>
    <row r="817" ht="15.75" customHeight="1" s="139"/>
    <row r="818" ht="15.75" customHeight="1" s="139"/>
    <row r="819" ht="15.75" customHeight="1" s="139"/>
    <row r="820" ht="15.75" customHeight="1" s="139"/>
    <row r="821" ht="15.75" customHeight="1" s="139"/>
    <row r="822" ht="15.75" customHeight="1" s="139"/>
    <row r="823" ht="15.75" customHeight="1" s="139"/>
    <row r="824" ht="15.75" customHeight="1" s="139"/>
    <row r="825" ht="15.75" customHeight="1" s="139"/>
    <row r="826" ht="15.75" customHeight="1" s="139"/>
    <row r="827" ht="15.75" customHeight="1" s="139"/>
    <row r="828" ht="15.75" customHeight="1" s="139"/>
    <row r="829" ht="15.75" customHeight="1" s="139"/>
    <row r="830" ht="15.75" customHeight="1" s="139"/>
    <row r="831" ht="15.75" customHeight="1" s="139"/>
    <row r="832" ht="15.75" customHeight="1" s="139"/>
    <row r="833" ht="15.75" customHeight="1" s="139"/>
    <row r="834" ht="15.75" customHeight="1" s="139"/>
    <row r="835" ht="15.75" customHeight="1" s="139"/>
    <row r="836" ht="15.75" customHeight="1" s="139"/>
    <row r="837" ht="15.75" customHeight="1" s="139"/>
    <row r="838" ht="15.75" customHeight="1" s="139"/>
    <row r="839" ht="15.75" customHeight="1" s="139"/>
    <row r="840" ht="15.75" customHeight="1" s="139"/>
    <row r="841" ht="15.75" customHeight="1" s="139"/>
    <row r="842" ht="15.75" customHeight="1" s="139"/>
    <row r="843" ht="15.75" customHeight="1" s="139"/>
    <row r="844" ht="15.75" customHeight="1" s="139"/>
    <row r="845" ht="15.75" customHeight="1" s="139"/>
    <row r="846" ht="15.75" customHeight="1" s="139"/>
    <row r="847" ht="15.75" customHeight="1" s="139"/>
    <row r="848" ht="15.75" customHeight="1" s="139"/>
    <row r="849" ht="15.75" customHeight="1" s="139"/>
    <row r="850" ht="15.75" customHeight="1" s="139"/>
    <row r="851" ht="15.75" customHeight="1" s="139"/>
    <row r="852" ht="15.75" customHeight="1" s="139"/>
    <row r="853" ht="15.75" customHeight="1" s="139"/>
    <row r="854" ht="15.75" customHeight="1" s="139"/>
    <row r="855" ht="15.75" customHeight="1" s="139"/>
    <row r="856" ht="15.75" customHeight="1" s="139"/>
    <row r="857" ht="15.75" customHeight="1" s="139"/>
    <row r="858" ht="15.75" customHeight="1" s="139"/>
    <row r="859" ht="15.75" customHeight="1" s="139"/>
    <row r="860" ht="15.75" customHeight="1" s="139"/>
    <row r="861" ht="15.75" customHeight="1" s="139"/>
    <row r="862" ht="15.75" customHeight="1" s="139"/>
    <row r="863" ht="15.75" customHeight="1" s="139"/>
    <row r="864" ht="15.75" customHeight="1" s="139"/>
    <row r="865" ht="15.75" customHeight="1" s="139"/>
    <row r="866" ht="15.75" customHeight="1" s="139"/>
    <row r="867" ht="15.75" customHeight="1" s="139"/>
    <row r="868" ht="15.75" customHeight="1" s="139"/>
    <row r="869" ht="15.75" customHeight="1" s="139"/>
    <row r="870" ht="15.75" customHeight="1" s="139"/>
    <row r="871" ht="15.75" customHeight="1" s="139"/>
    <row r="872" ht="15.75" customHeight="1" s="139"/>
    <row r="873" ht="15.75" customHeight="1" s="139"/>
    <row r="874" ht="15.75" customHeight="1" s="139"/>
    <row r="875" ht="15.75" customHeight="1" s="139"/>
    <row r="876" ht="15.75" customHeight="1" s="139"/>
    <row r="877" ht="15.75" customHeight="1" s="139"/>
    <row r="878" ht="15.75" customHeight="1" s="139"/>
    <row r="879" ht="15.75" customHeight="1" s="139"/>
    <row r="880" ht="15.75" customHeight="1" s="139"/>
    <row r="881" ht="15.75" customHeight="1" s="139"/>
    <row r="882" ht="15.75" customHeight="1" s="139"/>
    <row r="883" ht="15.75" customHeight="1" s="139"/>
    <row r="884" ht="15.75" customHeight="1" s="139"/>
    <row r="885" ht="15.75" customHeight="1" s="139"/>
    <row r="886" ht="15.75" customHeight="1" s="139"/>
    <row r="887" ht="15.75" customHeight="1" s="139"/>
    <row r="888" ht="15.75" customHeight="1" s="139"/>
    <row r="889" ht="15.75" customHeight="1" s="139"/>
    <row r="890" ht="15.75" customHeight="1" s="139"/>
    <row r="891" ht="15.75" customHeight="1" s="139"/>
    <row r="892" ht="15.75" customHeight="1" s="139"/>
    <row r="893" ht="15.75" customHeight="1" s="139"/>
    <row r="894" ht="15.75" customHeight="1" s="139"/>
    <row r="895" ht="15.75" customHeight="1" s="139"/>
    <row r="896" ht="15.75" customHeight="1" s="139"/>
    <row r="897" ht="15.75" customHeight="1" s="139"/>
    <row r="898" ht="15.75" customHeight="1" s="139"/>
    <row r="899" ht="15.75" customHeight="1" s="139"/>
    <row r="900" ht="15.75" customHeight="1" s="139"/>
    <row r="901" ht="15.75" customHeight="1" s="139"/>
    <row r="902" ht="15.75" customHeight="1" s="139"/>
    <row r="903" ht="15.75" customHeight="1" s="139"/>
    <row r="904" ht="15.75" customHeight="1" s="139"/>
    <row r="905" ht="15.75" customHeight="1" s="139"/>
    <row r="906" ht="15.75" customHeight="1" s="139"/>
    <row r="907" ht="15.75" customHeight="1" s="139"/>
    <row r="908" ht="15.75" customHeight="1" s="139"/>
    <row r="909" ht="15.75" customHeight="1" s="139"/>
    <row r="910" ht="15.75" customHeight="1" s="139"/>
    <row r="911" ht="15.75" customHeight="1" s="139"/>
    <row r="912" ht="15.75" customHeight="1" s="139"/>
    <row r="913" ht="15.75" customHeight="1" s="139"/>
    <row r="914" ht="15.75" customHeight="1" s="139"/>
    <row r="915" ht="15.75" customHeight="1" s="139"/>
    <row r="916" ht="15.75" customHeight="1" s="139"/>
    <row r="917" ht="15.75" customHeight="1" s="139"/>
    <row r="918" ht="15.75" customHeight="1" s="139"/>
    <row r="919" ht="15.75" customHeight="1" s="139"/>
    <row r="920" ht="15.75" customHeight="1" s="139"/>
    <row r="921" ht="15.75" customHeight="1" s="139"/>
    <row r="922" ht="15.75" customHeight="1" s="139"/>
    <row r="923" ht="15.75" customHeight="1" s="139"/>
    <row r="924" ht="15.75" customHeight="1" s="139"/>
    <row r="925" ht="15.75" customHeight="1" s="139"/>
    <row r="926" ht="15.75" customHeight="1" s="139"/>
    <row r="927" ht="15.75" customHeight="1" s="139"/>
    <row r="928" ht="15.75" customHeight="1" s="139"/>
    <row r="929" ht="15.75" customHeight="1" s="139"/>
    <row r="930" ht="15.75" customHeight="1" s="139"/>
    <row r="931" ht="15.75" customHeight="1" s="139"/>
    <row r="932" ht="15.75" customHeight="1" s="139"/>
    <row r="933" ht="15.75" customHeight="1" s="139"/>
    <row r="934" ht="15.75" customHeight="1" s="139"/>
    <row r="935" ht="15.75" customHeight="1" s="139"/>
    <row r="936" ht="15.75" customHeight="1" s="139"/>
    <row r="937" ht="15.75" customHeight="1" s="139"/>
    <row r="938" ht="15.75" customHeight="1" s="139"/>
    <row r="939" ht="15.75" customHeight="1" s="139"/>
    <row r="940" ht="15.75" customHeight="1" s="139"/>
    <row r="941" ht="15.75" customHeight="1" s="139"/>
    <row r="942" ht="15.75" customHeight="1" s="139"/>
    <row r="943" ht="15.75" customHeight="1" s="139"/>
    <row r="944" ht="15.75" customHeight="1" s="139"/>
    <row r="945" ht="15.75" customHeight="1" s="139"/>
    <row r="946" ht="15.75" customHeight="1" s="139"/>
    <row r="947" ht="15.75" customHeight="1" s="139"/>
    <row r="948" ht="15.75" customHeight="1" s="139"/>
    <row r="949" ht="15.75" customHeight="1" s="139"/>
    <row r="950" ht="15.75" customHeight="1" s="139"/>
    <row r="951" ht="15.75" customHeight="1" s="139"/>
    <row r="952" ht="15.75" customHeight="1" s="139"/>
    <row r="953" ht="15.75" customHeight="1" s="139"/>
    <row r="954" ht="15.75" customHeight="1" s="139"/>
    <row r="955" ht="15.75" customHeight="1" s="139"/>
    <row r="956" ht="15.75" customHeight="1" s="139"/>
    <row r="957" ht="15.75" customHeight="1" s="139"/>
    <row r="958" ht="15.75" customHeight="1" s="139"/>
    <row r="959" ht="15.75" customHeight="1" s="139"/>
    <row r="960" ht="15.75" customHeight="1" s="139"/>
    <row r="961" ht="15.75" customHeight="1" s="139"/>
    <row r="962" ht="15.75" customHeight="1" s="139"/>
    <row r="963" ht="15.75" customHeight="1" s="139"/>
    <row r="964" ht="15.75" customHeight="1" s="139"/>
    <row r="965" ht="15.75" customHeight="1" s="139"/>
    <row r="966" ht="15.75" customHeight="1" s="139"/>
    <row r="967" ht="15.75" customHeight="1" s="139"/>
    <row r="968" ht="15.75" customHeight="1" s="139"/>
    <row r="969" ht="15.75" customHeight="1" s="139"/>
    <row r="970" ht="15.75" customHeight="1" s="139"/>
    <row r="971" ht="15.75" customHeight="1" s="139"/>
    <row r="972" ht="15.75" customHeight="1" s="139"/>
  </sheetData>
  <mergeCells count="63">
    <mergeCell ref="E63:G63"/>
    <mergeCell ref="B99:H99"/>
    <mergeCell ref="B137:H137"/>
    <mergeCell ref="B74:H74"/>
    <mergeCell ref="B118:H118"/>
    <mergeCell ref="E31:G31"/>
    <mergeCell ref="E65:G65"/>
    <mergeCell ref="E34:G34"/>
    <mergeCell ref="A11:H11"/>
    <mergeCell ref="B139:H139"/>
    <mergeCell ref="E30:G30"/>
    <mergeCell ref="A103:H103"/>
    <mergeCell ref="F40:G40"/>
    <mergeCell ref="E90:G90"/>
    <mergeCell ref="B104:H104"/>
    <mergeCell ref="B76:H76"/>
    <mergeCell ref="A132:H132"/>
    <mergeCell ref="A78:H78"/>
    <mergeCell ref="B79:H79"/>
    <mergeCell ref="B135:H135"/>
    <mergeCell ref="B75:H75"/>
    <mergeCell ref="B100:H100"/>
    <mergeCell ref="F42:G42"/>
    <mergeCell ref="B65:D65"/>
    <mergeCell ref="B138:H138"/>
    <mergeCell ref="B72:H72"/>
    <mergeCell ref="A46:H46"/>
    <mergeCell ref="A37:H37"/>
    <mergeCell ref="F41:G41"/>
    <mergeCell ref="E91:G91"/>
    <mergeCell ref="B134:H134"/>
    <mergeCell ref="B64:D64"/>
    <mergeCell ref="A18:H18"/>
    <mergeCell ref="E32:G32"/>
    <mergeCell ref="A3:H3"/>
    <mergeCell ref="E66:G66"/>
    <mergeCell ref="B63:D63"/>
    <mergeCell ref="B71:H71"/>
    <mergeCell ref="B105:H105"/>
    <mergeCell ref="A2:H2"/>
    <mergeCell ref="E93:G93"/>
    <mergeCell ref="B70:H70"/>
    <mergeCell ref="B98:H98"/>
    <mergeCell ref="E121:G121"/>
    <mergeCell ref="B136:H136"/>
    <mergeCell ref="E122:G122"/>
    <mergeCell ref="F43:G43"/>
    <mergeCell ref="B101:H101"/>
    <mergeCell ref="F39:G39"/>
    <mergeCell ref="A62:H62"/>
    <mergeCell ref="B66:D66"/>
    <mergeCell ref="E33:G33"/>
    <mergeCell ref="A96:H96"/>
    <mergeCell ref="B73:H73"/>
    <mergeCell ref="E123:G123"/>
    <mergeCell ref="B87:H87"/>
    <mergeCell ref="E92:G92"/>
    <mergeCell ref="E35:G35"/>
    <mergeCell ref="A68:H68"/>
    <mergeCell ref="A44:H44"/>
    <mergeCell ref="E64:G64"/>
    <mergeCell ref="E29:G29"/>
    <mergeCell ref="E94:G94"/>
  </mergeCells>
  <pageMargins left="0.5" right="0.5" top="0.5" bottom="0.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2026-10-21T14:23:43Z</dcterms:created>
  <dcterms:modified xmlns:dcterms="http://purl.org/dc/terms/" xmlns:xsi="http://www.w3.org/2001/XMLSchema-instance" xsi:type="dcterms:W3CDTF">2026-10-21T16:21:34Z</dcterms:modified>
</cp:coreProperties>
</file>
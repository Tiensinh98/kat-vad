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4.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Gap" sheetId="1" r:id="rId5"/>
    <sheet state="visible" name="EDA" sheetId="2" r:id="rId6"/>
    <sheet state="visible" name="Training Results" sheetId="3" r:id="rId7"/>
    <sheet state="visible" name="Kết quả v2" sheetId="4" r:id="rId8"/>
  </sheets>
  <definedNames/>
  <calcPr/>
</workbook>
</file>

<file path=xl/sharedStrings.xml><?xml version="1.0" encoding="utf-8"?>
<sst xmlns="http://schemas.openxmlformats.org/spreadsheetml/2006/main" count="644" uniqueCount="365">
  <si>
    <t>Tên</t>
  </si>
  <si>
    <t>Publisher</t>
  </si>
  <si>
    <t>Loại</t>
  </si>
  <si>
    <t>Link</t>
  </si>
  <si>
    <t>Reusable</t>
  </si>
  <si>
    <t>LANGUAGE-GUIDED OPEN-WORLD VIDEO ANOMALY
DETECTION UNDER WEAK SUPERVISION</t>
  </si>
  <si>
    <t>ICLR 2026</t>
  </si>
  <si>
    <t>WS</t>
  </si>
  <si>
    <t>https://arxiv.org/abs/2503.13160</t>
  </si>
  <si>
    <t>Baseline</t>
  </si>
  <si>
    <t>Just Dance with π!
A Poly-modal Inductor for Weakly-supervised 
Video Anomaly Detection</t>
  </si>
  <si>
    <t>arXiv 2025</t>
  </si>
  <si>
    <t>https://arxiv.org/pdf/2505.13123</t>
  </si>
  <si>
    <t>PMG train-time-only modality induction, Motion encoder dùng optical flow (RAFT)</t>
  </si>
  <si>
    <t>RefineVAD: Semantic-Guided Feature Recalibration
for Weakly Supervised Video Anomaly Detection</t>
  </si>
  <si>
    <t>AAAI 2026</t>
  </si>
  <si>
    <t>https://arxiv.org/pdf/2511.13204</t>
  </si>
  <si>
    <t>MoTAR motion-adaptive temporal shift: mảnh video có motion cao thì cần nhiều
temporal context hơn, nên phương pháp  này đề xuất việc mượn 1 phần temporal
context từ khung hình trước.</t>
  </si>
  <si>
    <t>SimpleTAD: Simplifying Traffic Anomaly Detection 
with Video Foundation Models</t>
  </si>
  <si>
    <t>CVPR 2025</t>
  </si>
  <si>
    <t>Fully-supervised, 
Training Free</t>
  </si>
  <si>
    <t>https://arxiv.org/pdf/2507.09338</t>
  </si>
  <si>
    <t>Paper có kết quả training training và evaluation trên 2 datasets giao 
thông (DoTA, DADA2000), có thể dùng để so sánh kết quả với proposed model</t>
  </si>
  <si>
    <t>Research Gap của LaGoVAD</t>
  </si>
  <si>
    <t>- Chỉ áp dụng cho các dataset có góc camera cố định (CCTV)</t>
  </si>
  <si>
    <t>- Chưa encode được nhưng thông tin về động học chuyển động, 
sự thay đổi bất ngờ về vận tốc trong các dataset trong giao thông
ví dụ như va chạm, lạng lách, đánh võng, etc.</t>
  </si>
  <si>
    <t>- Zero-shot evaluation trên DoTA kết quả thấp (AUC ~ 0.62)</t>
  </si>
  <si>
    <t>Lý do chọn LaGoVAD</t>
  </si>
  <si>
    <t>- Support weakly-supervised</t>
  </si>
  <si>
    <t>- Có thể làm baseline để so sánh kết quả vì đã có kết quả zero-shot 
trên các dataset về giao thông như TAD, DoTA</t>
  </si>
  <si>
    <t>- Hỗ trợ context drift đặc biệt là trong dataset về giao thông ví dụ: 
Người đi bộ trên vỉa hè thì là bình thường nhưng đi bộ trên đường cao
tốc thì sẽ là bất thường (cần có mô tả cho từng video ở frame level) khi train</t>
  </si>
  <si>
    <t>- LaGoVAD zero shot trên DoTA đạt kết quả thấp nhất trong các dataset
dùng làm zero shot do thiếu encode thông tin về động học, chuyển động</t>
  </si>
  <si>
    <t>KAT-VAD — TỔNG HỢP KẾT QUẢ EDA (Exploratory Data Analysis) CÁC BỘ DỮ LIỆU</t>
  </si>
  <si>
    <t>1. DANH MỤC CÁC LẦN CHẠY EDA</t>
  </si>
  <si>
    <t>Thư mục artifact</t>
  </si>
  <si>
    <t>Bộ dữ liệu</t>
  </si>
  <si>
    <t>Hình học / cấu hình</t>
  </si>
  <si>
    <t>Vai trò trong đề tài</t>
  </si>
  <si>
    <t>Kết luận nhanh</t>
  </si>
  <si>
    <t>Ghi chú</t>
  </si>
  <si>
    <t>DoTA</t>
  </si>
  <si>
    <t>DoTA (traffic, ego-view)</t>
  </si>
  <si>
    <t>clip nguyên bản, kernel 9</t>
  </si>
  <si>
    <t>Benchmark zero-shot GIỮ NGOÀI — mọi so sánh của đề tài định nghĩa bằng việc DoTA chưa từng được train</t>
  </si>
  <si>
    <t>SẠCH: oracle 0.5017, leak 0.4993, probe macro 0.6708. Nhưng train_clips = 0 và chỉ có 3 clip normal → không thể train.</t>
  </si>
  <si>
    <t>✅ dùng được</t>
  </si>
  <si>
    <t>TAD</t>
  </si>
  <si>
    <t>TAD (traffic CCTV)</t>
  </si>
  <si>
    <t>Dùng làm evaluation để reproduce xem giống kết quả
baseline hay không. Và có tiến hành train thử, nhưng bộ 
đatasset này là non-ego-centric không dùng chính thức
cho đề tài</t>
  </si>
  <si>
    <t>oracle micro 0.9226, chỉ riêng độ dài clip đã cho micro 0.8968 → micro AUC ở đây là phân loại clip.</t>
  </si>
  <si>
    <t>❌ không dùng được</t>
  </si>
  <si>
    <t>DADA2000</t>
  </si>
  <si>
    <t>DADA-2000 (bản archive đã cắt)</t>
  </si>
  <si>
    <t>Dùng thử để train thử model</t>
  </si>
  <si>
    <t>trung bình số frame T = 9 ≤ kernel 9, oracle 0.9086, leak 0.8654, probe chỉ 0.5228.</t>
  </si>
  <si>
    <t>DADA2000_orig_T2_w20s8</t>
  </si>
  <si>
    <t>DADA-2000 BẢN GỐC, T2 W=20 skip 8</t>
  </si>
  <si>
    <t>window cố định, kernel 3</t>
  </si>
  <si>
    <t>CORPUS HUẤN LUYỆN HIỆN TẠI tuy nhiên
sau quá trình train và eval trên DoTA thì kết
quả không tốt</t>
  </si>
  <si>
    <t>length leak 0.5000, oracle 0.7037, giữ 95,7 % nguồn abnormal, 798 window test 2 lớp.</t>
  </si>
  <si>
    <t>DADA2000Origin</t>
  </si>
  <si>
    <t>DADA-2000 bản gốc thử 
trên 400 clip trước</t>
  </si>
  <si>
    <t>clip nguyên bản</t>
  </si>
  <si>
    <t>Dự tính dùng dataset này + BDD100K để train
để có cả normal và abnormal</t>
  </si>
  <si>
    <t>Thăm dò thì thấy probe auc_macro 0.6518 ≥ ngưỡng 0.60.</t>
  </si>
  <si>
    <t>✅ dùng được nhưng có vấn đề là dataset này toàn là abnormal nên
không tiến hành train được trừ khi thêm BDD100K</t>
  </si>
  <si>
    <t>2. BẢNG SO SÁNH — 2.1 QUY MÔ CORPUS</t>
  </si>
  <si>
    <t>Chỉ số</t>
  </si>
  <si>
    <t>DADA bản cắt gọn</t>
  </si>
  <si>
    <t>DADA2000 W=20 ✅</t>
  </si>
  <si>
    <t>Note</t>
  </si>
  <si>
    <t>Clip/window TRAIN</t>
  </si>
  <si>
    <t>DoTA = 0 → không thể huấn luyện trên DoTA, đó là điều kiện của mọi so sánh zero-shot.</t>
  </si>
  <si>
    <t xml:space="preserve">   ├ abnormal</t>
  </si>
  <si>
    <t xml:space="preserve">   └ normal</t>
  </si>
  <si>
    <t>DADA bản gốc không có video normal, normal
được lấy từ chính các video abnormal</t>
  </si>
  <si>
    <t>Clip/window TEST</t>
  </si>
  <si>
    <t>Frame test (đã lấy mẫu stride 8)</t>
  </si>
  <si>
    <t>Frame dương (positive)</t>
  </si>
  <si>
    <t>Tỉ lệ frame positive</t>
  </si>
  <si>
    <t>Độ dài clip trung vị (frame đã lấy mẫu)</t>
  </si>
  <si>
    <t>Cần so sánh với kernel head score
để tránh số frame trung vị nhỏ nhỏ hơn
score head thì output sẽ nhìn cả clip</t>
  </si>
  <si>
    <t>Độ dài clip gốc trung vị (trước stride)</t>
  </si>
  <si>
    <t>score_head_kernel</t>
  </si>
  <si>
    <t>hạ 9 → 3 vì window chỉ dài 16–20 frame.</t>
  </si>
  <si>
    <t>Số bước/epoch (batch 64)</t>
  </si>
  <si>
    <t>2. BẢNG SO SÁNH CHUNG</t>
  </si>
  <si>
    <t>T2 W=20 ✅</t>
  </si>
  <si>
    <t>Phủ kernel trung vị (tỉ lệ clip nằm trong 1 timestep)</t>
  </si>
  <si>
    <t>Càng thấp càng tốt. = 100 % nghĩa là score head đang phân loại cả clip</t>
  </si>
  <si>
    <t>Tỉ lệ clip nằm GỌN trong kernel</t>
  </si>
  <si>
    <t>Tỉ lệ clip bị MIL top-k tụt về k = 1</t>
  </si>
  <si>
    <t>TopK PCT = 16 (6.25%)</t>
  </si>
  <si>
    <t>Clip abnormal mất sạch frame dương (vanished)</t>
  </si>
  <si>
    <t>Phải loại các clip này lúc chấm điểm AUC</t>
  </si>
  <si>
    <t>Clip 2 lớp abnormal và normal</t>
  </si>
  <si>
    <t>auc_macro chỉ trung bình trên các clip có cả frame dương lẫn âm.</t>
  </si>
  <si>
    <t>Tỉ lệ frame nằm trong clip TOÀN NORMAL</t>
  </si>
  <si>
    <t>Càng cao thì micro AUC càng bị chi phối bởi việc xếp hạng giữa các clip.</t>
  </si>
  <si>
    <t>★ CLIP ORACLE — micro AUC khi chỉ xếp hạng clip, không định vị gì</t>
  </si>
  <si>
    <t>★ RÒ RỈ ĐỘ DÀI — micro AUC chỉ đọc số frame của clip</t>
  </si>
  <si>
    <t>Do đã được cắt thành các windown bằng nhau 20 frames</t>
  </si>
  <si>
    <t xml:space="preserve">   └ rò rỉ ở mức clip (clip-level AUC)</t>
  </si>
  <si>
    <t xml:space="preserve">   └ hướng rò rỉ</t>
  </si>
  <si>
    <t>clip NGẮN = abnormal</t>
  </si>
  <si>
    <t>Tỉ lệ cặp frame (+/−) nằm khác clip</t>
  </si>
  <si>
    <t>Phần còn lại (1 − số này) mới là phần mà việc định vị có thể thắng được.</t>
  </si>
  <si>
    <t>--score-norm auto quy về</t>
  </si>
  <si>
    <t>minmax</t>
  </si>
  <si>
    <t>none</t>
  </si>
  <si>
    <t>minmax cho corpus gần như toàn abnormal (DoTA), none cho corpus có nhiều clip normal</t>
  </si>
  <si>
    <t>2. BẢNG SO SÁNH — 2.3 ĐẶC TRƯNG CLIP FROZEN VÀ THỬ THĂM DÒ LINEAR CLASSIFIER</t>
  </si>
  <si>
    <t>Đọc thế nào / ngưỡng</t>
  </si>
  <si>
    <t>★ Frame linear probe — auc_macro</t>
  </si>
  <si>
    <t>—</t>
  </si>
  <si>
    <t>CLIP feature của DoTA có tính representation tốt nhất</t>
  </si>
  <si>
    <t>Cross-validation gom nhóm theo clip. DoTA 0.6708 là mốc tham chiếu của đề tài.</t>
  </si>
  <si>
    <t xml:space="preserve">   └ frame probe — auc_micro</t>
  </si>
  <si>
    <t>Clip linear probe — AUC (average pooling)</t>
  </si>
  <si>
    <t>Do các clip của DoTA đều là abnormal nên khả năng phân biệt ở mức clip rất thấp. Về DADA cắt gọn thì một frame không có nhiều tín hiệu nhưng khi gộp nhiều frame lại thành clip thì tín hiệu nhận biết bất thường tốt hơn</t>
  </si>
  <si>
    <t>Trên DADA bản gốc nguyên clip, probe này KHÔNG chạy được vì không có clip normal — đó là ưu điểm, không phải lỗi.</t>
  </si>
  <si>
    <t>Tự tương quan thời gian (cosine lag 1)</t>
  </si>
  <si>
    <t>≈ 0.96–0.99: hai frame liên tiếp gần như trùng nhau</t>
  </si>
  <si>
    <t>≈ 0.96–0.99: hai frame liên tiếp gần như trùng nhau → cỡ mẫu hữu hiệu thấp hơn số frame rất nhiều.</t>
  </si>
  <si>
    <t>Phương sai giữa-clip / trong-clip (feature)</t>
  </si>
  <si>
    <t>Càng cao thì embedding càng mã hoá về mặt scene thay vì thông tin về các event xảy ra trong từng clip</t>
  </si>
  <si>
    <t>Càng cao thì embedding càng mã hoá 'cảnh nào' hơn là 'đang xảy ra chuyện gì'.</t>
  </si>
  <si>
    <t>Số chiều giữ 90 % phương sai (/512)</t>
  </si>
  <si>
    <t>~420/512 → không phải không gian con thoái hoá.</t>
  </si>
  <si>
    <t>3. WARNINGS</t>
  </si>
  <si>
    <t>Corpus</t>
  </si>
  <si>
    <t>Mức</t>
  </si>
  <si>
    <t>Phát hiện &amp; số đo</t>
  </si>
  <si>
    <t>Phải làm gì</t>
  </si>
  <si>
    <t>HIGH</t>
  </si>
  <si>
    <t>MIL top-k trở thành max pooling — 99.9% clip rơi về k = 1 ở mil_topk_pct = 16: mỗi clip chỉ 1 frame được giám sát mỗi bước.</t>
  </si>
  <si>
    <t>Hạ loss.mil_topk_pct, hoặc chấp nhận rằng giám sát ở đây là mức clip và ngừng đọc kết luận frame-level từ nó.</t>
  </si>
  <si>
    <t>Có 3 clip là abnormal tuy nhiên sau khi skip frame thì không còn positive frame</t>
  </si>
  <si>
    <t>Loại các clip này lúc chấm điểm. KHÔNG 'sửa' bằng --strict: cờ đó raise lỗi chứ không sửa dữ liệu.</t>
  </si>
  <si>
    <t>INFO</t>
  </si>
  <si>
    <t>Đặc trưng CÓ mang tín hiện frame-level, linear probe có giám sát đạt auc_macro 0.6708</t>
  </si>
  <si>
    <t>Thiếu hụt nằm ở GIÁM SÁT chứ không ở biểu diễn. Head tốt hơn hoặc nhãn dày hơn có thể lấp được; không cần đổi backbone.</t>
  </si>
  <si>
    <t>CRITICAL</t>
  </si>
  <si>
    <t>Micro AUC ở đây chủ yếu là phân loại clip; 99.7% số cặp frame (+/−) nằm khác clip.</t>
  </si>
  <si>
    <t>Lấy auc_macro làm số chính, và luôn in oracle bên cạnh mọi số micro. Không bao giờ đặt micro của corpus này cạnh một số frame-level đã công bố.</t>
  </si>
  <si>
    <t>Chỉ riêng độ dài clip đã đoán được nhãn, chỉ đọc số frame của clip đạt clip-level AUC 0.6940 và micro AUC 0.8968 — clip NGẮN chính là clip abnormal. 21 clip normal (8,049 frame) nằm hoàn toàn ngoài dải độ dài của clip abnormal.</t>
  </si>
  <si>
    <t>Dựng lại corpus thành window cố định với vị trí bất thường ngẫu nhiên. Trước khi làm được, coi mọi arm không vượt baseline này là CHƯA ĐƯỢC ĐO.</t>
  </si>
  <si>
    <t>Score head trùm cả clip; 55.4% clip test có T ≤ kernel 9 (trung vị T = 9); 24.3% số frame nằm trong nhóm đó.</t>
  </si>
  <si>
    <t>Hạ model.score_head_kernel (thử 3) hoặc hạ frame_stride để T ≫ kernel. Cả hai đều làm mọi cache cũ hết hiệu lực (C2).</t>
  </si>
  <si>
    <t>MIL top-k trở thành max pooling thuần — 90.3% clip rơi về k = 1 ở mil_topk_pct = 16: mỗi clip chỉ 1 frame được giám sát mỗi bước.</t>
  </si>
  <si>
    <t>Clip abnormal có vector nhãn toàn 0 — 4 clip khai là abnormal trong meta.json nhưng không còn frame dương nào; mọi metric đang tính chúng là normal.</t>
  </si>
  <si>
    <t>Micro AUC ở đây chủ yếu là phân loại clip (C12) — Oracle điểm-hằng-số-theo-clip đạt micro AUC 0.9086 mà không định vị gì; 99.9% số cặp frame (+/−) nằm khác clip.</t>
  </si>
  <si>
    <t>Chỉ riêng độ dài clip đã đoán được nhãn (C28) — Bộ dò chỉ đọc số frame của clip đạt clip-level AUC 0.8105 và micro AUC 0.8654 — clip NGẮN chính là clip abnormal. 107 clip normal (3,157 frame) nằm hoàn toàn ngoài dải độ dài của clip abnormal.</t>
  </si>
  <si>
    <t>Đặc trưng không mang tín hiệu mức frame — Ngay cả linear probe có giám sát cũng chỉ đạt auc_macro 0.5228, trong khi probe mức clip đạt 0.6799.</t>
  </si>
  <si>
    <t>Không head nào trên đặc trưng này định vị được; cần backbone khác hoặc stride mịn hơn — KHÔNG phải thêm một biến thể KIP nữa.</t>
  </si>
  <si>
    <t>MIL top-k thoái hoá thành max thuần — 100.0% clip rơi về k = 1 ở mil_topk_pct = 16: mỗi clip chỉ 1 frame được giám sát mỗi bước.</t>
  </si>
  <si>
    <t>Clip nguồn abnormal có vector nhãn toàn 0 — 2 clip nguồn khai là abnormal nhưng không còn frame dương nào ở bất kỳ window nào.</t>
  </si>
  <si>
    <t>Loại các clip nguồn này lúc chấm điểm. KHÔNG dùng --strict.</t>
  </si>
  <si>
    <t>Đặc trưng không mang tín hiệu mức frame — Ngay cả linear probe có giám sát cũng chỉ đạt auc_macro 0.5983, trong khi probe mức clip đạt 0.5551.</t>
  </si>
  <si>
    <t>4. CÁC CỔNG KIỂM TRA (GATES) TRÊN DADA-2000 BẢN GỐC</t>
  </si>
  <si>
    <t>4.1 — Chi tiết Gate W: 6 tiêu chí × 2 hình học (nguồn: run_manifest.json của hai lần chạy T2)</t>
  </si>
  <si>
    <t>Tiêu chí</t>
  </si>
  <si>
    <t>Ngưỡng</t>
  </si>
  <si>
    <t>W=16 hop 8</t>
  </si>
  <si>
    <t>W=20 hop 8 ✅</t>
  </si>
  <si>
    <t>Diễn giải</t>
  </si>
  <si>
    <t>Rò rỉ độ dài (micro AUC)</t>
  </si>
  <si>
    <t>≤ 0.55</t>
  </si>
  <si>
    <t>Window cố định đóng rò rỉ HOÀN TOÀN theo thiết kế</t>
  </si>
  <si>
    <t>Clip oracle (micro AUC)</t>
  </si>
  <si>
    <t>≤ 0.75</t>
  </si>
  <si>
    <t>Tiêu chí DUY NHẤT làm W=16 trượt — thiếu 0,77 % số frame</t>
  </si>
  <si>
    <t>Giữ lại nguồn abnormal</t>
  </si>
  <si>
    <t>≥ 0.90</t>
  </si>
  <si>
    <t>Window dài hơn thì mất thêm một ít clip nguồn ngắn</t>
  </si>
  <si>
    <t>Tỉ lệ lớp (normal : abnormal)</t>
  </si>
  <si>
    <t>≈ 1:3</t>
  </si>
  <si>
    <t>Số window abnormal / normal</t>
  </si>
  <si>
    <t>Phủ kernel (k=3)</t>
  </si>
  <si>
    <t>≤ 0.35</t>
  </si>
  <si>
    <t>3/16 so với 3/20</t>
  </si>
  <si>
    <t>Window test 2 lớp</t>
  </si>
  <si>
    <t>≥ 300</t>
  </si>
  <si>
    <t>Mẫu số của auc_macro</t>
  </si>
  <si>
    <t>6. TỔNG KẾT</t>
  </si>
  <si>
    <t>#</t>
  </si>
  <si>
    <t>Kết luận</t>
  </si>
  <si>
    <t>Bằng chứng / số đo</t>
  </si>
  <si>
    <t>1</t>
  </si>
  <si>
    <t>Không có corpus nào vừa SẠCH vừa có mẫu NORMAL — trừ DADA2000 W=20.</t>
  </si>
  <si>
    <t>MSAD (có negative, sạch, nhưng là CCTV) · TAD (có negative, sụp đổ) · DADA-archive (có negative, rò rỉ) · DoTA (sạch nhưng train_clips = 0, chỉ 3 clip normal) · DADA bản gốc (sạch, KHÔNG có video normal). DADA2000 W=20 thì đạt được cái tiêu chí tuy nhiên khi training thì kết quả không tốt do độ dài window quá ngắn làm các thông tin về vận tốc ít được mã hoá</t>
  </si>
  <si>
    <t>2</t>
  </si>
  <si>
    <t>DoTA giữ làm evaluation dataset để benchmark</t>
  </si>
  <si>
    <t>Oracle 0.5017, rò rỉ độ dài 0.4993, 1.392/1.397 clip là clip hỗn hợp — nghĩa là micro AUC trên DoTA thực sự đo định vị. Nhưng train_clips = 0: DoTA không thể huấn luyện và phải giữ nguyên trạng thái chưa từng thấy. Mốc phải vượt: 0.6408 micro (arm MSAD kip_on).</t>
  </si>
  <si>
    <t>3</t>
  </si>
  <si>
    <t>TAD và DADA2000 bản cắt gọt không dùng cho train được</t>
  </si>
  <si>
    <t>TAD: oracle 0.9226, chỉ riêng độ dài clip cho micro 0.8968 → con số công bố 89.56 nằm LỌT GIỮA hai mốc này. DADA-archive: oracle 0.9086, rò rỉ 0.8654, median T = 9 đúng bằng kernel 9, probe chỉ 0.5228. Không bao giờ đặt micro của hai corpus này cạnh một số frame-level đã công bố.</t>
  </si>
  <si>
    <t>6</t>
  </si>
  <si>
    <t>DADA2000 W = 20 có thể dùng để training (tuy nhiên kết quả chưa được
tốt)</t>
  </si>
  <si>
    <t>leak 0.5000 · oracle 0.7037 · giữ 95,7 % nguồn abnormal · 798 window test 2 lớp · phủ kernel 15 % với kernel 3. Và khi huấn luyện thật (KIP-off, 3 seed — số này lấy từ outputs/REPORTS/DADA2000_orig_phase4, không thuộc EDA): auc_macro 0.6248 &gt; probe 0.5983, micro 0.6182 NẰM DƯỚI oracle 0.7037 — đây là corpus đầu tiên mà huấn luyện in-domain KHÔNG sụp thành bộ phân loại clip/window.</t>
  </si>
  <si>
    <t>7</t>
  </si>
  <si>
    <t>CLIP feature của DADA2000 W = 20 chưa mang nhiều tín hiệu</t>
  </si>
  <si>
    <t>Verdict 'đặc trưng không mang tín hiệu mức frame' bắn ra vì probe 0.5983 &lt; ngưỡng 0.60 của công cụ EDA. Nhưng probe chỉ là trần của một bộ đọc TUYẾN TÍNH TỪNG FRAME, còn các arm có temporal encoder + Conv1d(kernel=3) và đã đo được 0.6248.</t>
  </si>
  <si>
    <t>KẾT QUẢ</t>
  </si>
  <si>
    <t>0. Dataset</t>
  </si>
  <si>
    <t>CLIP oracle cao vì dataset có các frame positive nằm trong abnormal clip và abnormal clips có quá ít negative frames, và phần lớn negative frames nằm trong normal clips</t>
  </si>
  <si>
    <t>0.1 Insights của dataset</t>
  </si>
  <si>
    <t>Vai trò</t>
  </si>
  <si>
    <t>Clip oracle (micro)</t>
  </si>
  <si>
    <t>Rò rỉ độ dài (micro)</t>
  </si>
  <si>
    <t>Frame linear probe (macro)</t>
  </si>
  <si>
    <t>Tỉ lệ frame dương</t>
  </si>
  <si>
    <t>Clip 2 lớp</t>
  </si>
  <si>
    <t>Benchmark zero-shot</t>
  </si>
  <si>
    <t>oracle ≈ 0.50 nên micro ở đây thật sự đo định vị. Mọi so sánh của đề tài được định nghĩa bằng việc DoTA chưa từng được nhìn thấy.</t>
  </si>
  <si>
    <t>MSAD</t>
  </si>
  <si>
    <t>Corpus huấn luyện CCTV</t>
  </si>
  <si>
    <t>PreVAD</t>
  </si>
  <si>
    <t>Dataset được sử dụng bởi
LaGoVAD để train</t>
  </si>
  <si>
    <t>Tập dataset LaGoVAD dùng
làm test set zero-shot</t>
  </si>
  <si>
    <t>oracle 0.9226. Mô hình có thể dựa vào số lượng frame để đoán label</t>
  </si>
  <si>
    <t>DADA-2000 bản đã cắt bỏ bớt</t>
  </si>
  <si>
    <t>Chạy train thử</t>
  </si>
  <si>
    <t>Rò rỉ nhãn qua độ dài clip score head bao cả clip dùng score head bằng 9 làm
cho mô hình nhìn cả clip để ra label thay vì 1 đoạn</t>
  </si>
  <si>
    <t>DADA-2000 GỐC / T2 W=20</t>
  </si>
  <si>
    <t>CORPUS HUẤN LUYỆN HIỆN TẠI</t>
  </si>
  <si>
    <t>Rò rỉ đóng hoàn toàn (0.5000) do negative được cắt từ CHÍNH video tai nạn, tuy nhiên cắt window slide = 20 làm clip bị ngắn còn khoảng hơn 5s 1 window (30fps, stride = 8, windown = 20)</t>
  </si>
  <si>
    <t>1. BASELINE TRAINING SO VỚI BÀI BÁO</t>
  </si>
  <si>
    <t>Dataset</t>
  </si>
  <si>
    <t>Checkpoint / arm</t>
  </si>
  <si>
    <t>Epoch</t>
  </si>
  <si>
    <t>micro AUC</t>
  </si>
  <si>
    <t>AP</t>
  </si>
  <si>
    <t>macro AUC</t>
  </si>
  <si>
    <t>Bài báo (LaGoVAD)</t>
  </si>
  <si>
    <t>Chênh vs bài báo</t>
  </si>
  <si>
    <t>LaGoVAD `best.ckpt`</t>
  </si>
  <si>
    <t>ĐẠT. Chênh −0.0092 so với số in; Số in 0.9041 không đạt được ngay cả với checkpoint public của LaGoVAD</t>
  </si>
  <si>
    <t>DoTA (zero-shot)</t>
  </si>
  <si>
    <t>ĐẠT. Chuẩn pooling min-max theo clip là thứ quyết định: cùng checkpoint đó, pooling raw chỉ cho 0.5055 (≈ ngẫu nhiên).</t>
  </si>
  <si>
    <t>PreVAD (in-domain)</t>
  </si>
  <si>
    <t>ĐẠT không có kết quả test set trên PreVAD được bài báo công bố</t>
  </si>
  <si>
    <t>Train trên PreVAD</t>
  </si>
  <si>
    <t>checkpoint khi train trên PreVAD + KIP off</t>
  </si>
  <si>
    <t>13,360</t>
  </si>
  <si>
    <t>ĐẠT kết quả gần như giống với checkpoint đã public của LaGoVAD</t>
  </si>
  <si>
    <t>TAD (zero-shot)</t>
  </si>
  <si>
    <t>TRƯỢT −0.1044 NHƯNG ĐÃ CHẨN ĐOÁN, không phải lỗi pipeline: nhãn khớp 100/100, stride và pooling khớp, macro 0.7578 chứng minh thứ tự frame là đúng (xáo frame → ≈ 0.50). Phần dư là do micro có trọng số theo độ dài clip (cân đều mỗi clip thì tụt còn 0.6574). 0.7912 là mốc, 89.56 là dùng test set là center cropped</t>
  </si>
  <si>
    <t>DADA-2000 bản gốc (~400 clip)</t>
  </si>
  <si>
    <t>linear probe có giám sát — KHÔNG huấn luyện</t>
  </si>
  <si>
    <t>ĐẠT. Trong khi đó DoTA 0.6708</t>
  </si>
  <si>
    <t>2. Thí nghiệm train trên MSAD và test trên DoTA</t>
  </si>
  <si>
    <t>2.1 MSAD, in-domain (240 clip test, 18.350 frame, pooling raw)</t>
  </si>
  <si>
    <t>Arm</t>
  </si>
  <si>
    <t>Khởi tạo stage-2</t>
  </si>
  <si>
    <t>Đánh giá trên</t>
  </si>
  <si>
    <t>Bước</t>
  </si>
  <si>
    <t>KIP-off</t>
  </si>
  <si>
    <t>ngẫu nhiên</t>
  </si>
  <si>
    <t>500</t>
  </si>
  <si>
    <t>Trung bình 3 seed.</t>
  </si>
  <si>
    <t>KIP-on</t>
  </si>
  <si>
    <t>stage-1 KIP (frozen các thứ khác ngoài KIP)</t>
  </si>
  <si>
    <t>PreVAD-trunk → KIP-off</t>
  </si>
  <si>
    <t>trunk PreVAD</t>
  </si>
  <si>
    <t>160</t>
  </si>
  <si>
    <t>KẾT QUẢ MSAD TỐT NHẤT đề tài từng tạo ra — vượt cả checkpoint phát hành (+0.0039 AUC, +0.0604 AP, khoảng tin cậy theo seed không chứa 0), và chỉ còn kém số in 0.0053.</t>
  </si>
  <si>
    <t>PreVAD-trunk → KIP-on</t>
  </si>
  <si>
    <t>- tham chiếu: LaGoVAD `best.ckpt`</t>
  </si>
  <si>
    <t>Mốc C8b.</t>
  </si>
  <si>
    <t>- tham chiếu: số trong bài báo</t>
  </si>
  <si>
    <t>Không tái lập được bằng chính checkpoint của họ → không dùng làm mốc.</t>
  </si>
  <si>
    <t>2.2 DoTA zero-shot — cùng các checkpoint trên, chấm trên DoTA (1.397 clip, min-max theo clip)</t>
  </si>
  <si>
    <t>Huấn luyện trên</t>
  </si>
  <si>
    <t>Số DoTA cao nhất đề tài từng tạo ra, và là mốc mà mọi corpus huấn luyện mới phải vượt: micro 0.6408 / macro 0.6529. Vượt cả checkpoint best của LaGoVAD (0.6012) lẫn số của bài báo (0.6260)</t>
  </si>
  <si>
    <t>PreVAD → MSAD</t>
  </si>
  <si>
    <t>PreVAD → MSAD-full</t>
  </si>
  <si>
    <t>— tham chiếu: LaGoVAD `best.ckpt`</t>
  </si>
  <si>
    <t>— tham chiếu: số trong bài báo</t>
  </si>
  <si>
    <t>LaGoVAD công bố 62.60.</t>
  </si>
  <si>
    <t>2.3 A/B của KIP trên MSAD — Δ = (KIP-on − KIP-off), ghép cặp theo seed, n = 3</t>
  </si>
  <si>
    <t>Đối chứng</t>
  </si>
  <si>
    <t>Δ</t>
  </si>
  <si>
    <t>t95 dưới</t>
  </si>
  <si>
    <t>t95 trên</t>
  </si>
  <si>
    <t>Dấu 3 seed</t>
  </si>
  <si>
    <t>KIP-on − KIP-off</t>
  </si>
  <si>
    <t>− + −</t>
  </si>
  <si>
    <t>KHÔNG kết luận được — khoảng tin cậy chứa 0.</t>
  </si>
  <si>
    <t>− + +</t>
  </si>
  <si>
    <t>+ + +</t>
  </si>
  <si>
    <t>HIỆU ỨNG THẬT về mặt thống kê, NHƯNG đã được quy trách nhiệm và KHÔNG phải chuyển động: arm A2 (dịch kênh cố định 50 %, không flow, không đầu PMG, không loss KIP) không phân biệt được với KIP đầy đủ. Đóng góp đo được của KIP là LÀM TRƠN THỜI GIAN.</t>
  </si>
  <si>
    <t>KIP-on − KIP-off (PreVAD-trunk)</t>
  </si>
  <si>
    <t>− − −</t>
  </si>
  <si>
    <t>3. Thí nghiệm train trên TAD và eval trên DoTA</t>
  </si>
  <si>
    <t>Thay đổi so với m0</t>
  </si>
  <si>
    <t>Mốc (Gate T0)</t>
  </si>
  <si>
    <t>Chênh macro vs T0</t>
  </si>
  <si>
    <t>Dùng checkpoint của LagoVAD</t>
  </si>
  <si>
    <t>Zero-shot từ checkpoint của lagoVAD</t>
  </si>
  <si>
    <t>Mốc tham chiếu duy nhất của TAD. Đứng giữa thước đo độ dài (0.8968) và clip oracle (0.9226) → micro trên TAD là phân loại clip. TUYỆT ĐỐI không đặt cạnh số frame-level đã công bố.</t>
  </si>
  <si>
    <t>m0</t>
  </si>
  <si>
    <t>504</t>
  </si>
  <si>
    <t>SỤP ĐỔ: micro vọt lên 0.9237 ≈ đúng oracle 0.9226 (AUC mức clip đạt 0.9975) trong khi macro TỤT 0.7578 → 0.6174. Mô hình biến thành bộ phân loại clip. Huấn luyện in-domain PHÁ HỦY 0.104 macro mà nó được trao.</t>
  </si>
  <si>
    <t>t2_warm</t>
  </si>
  <si>
    <t>warm-up từ trunk PreVAD</t>
  </si>
  <si>
    <t>Arm DUY NHẤT đẩy cả bốn cột đúng hướng (macro 0.6540, d = +0.5482, DoTA macro 0.5887 — lấp 26/27/59 % khoảng cách) và VẪN trượt mốc. Đây là thứ mua được tuyên bố mạnh ở dòng m0.</t>
  </si>
  <si>
    <t>3.1 Chuyển giao zero-shot sang DoTA của chính các checkpoint TAD ở trên</t>
  </si>
  <si>
    <t>Chuyển giao tụt từ 0.6158 (Gate T0) xuống 0.5496 ở m0 — cùng chiều với việc macro bị phá hủy.</t>
  </si>
  <si>
    <t>5. DADA-2000 BẢN GỐC — CORPUS W=20 skip 8 frames</t>
  </si>
  <si>
    <t>Corpus: window dài 20 hop 8, 4,401 window huấn luyện / 1,106 window test (798 window 2 lớp cho macro), kernel 3, MIL top-k 5 %, 20 epoch = 2,040 bước, 3 seed [2024, 2025, 2026]</t>
  </si>
  <si>
    <t>5.1 Kết quả từng seed và trung bình — DADA2000 + DoTA zero-shot</t>
  </si>
  <si>
    <t>Seed</t>
  </si>
  <si>
    <t>Step</t>
  </si>
  <si>
    <t>Mốc phải vượt</t>
  </si>
  <si>
    <t>Chênh vs mốc</t>
  </si>
  <si>
    <t>DADA2000 (test set)</t>
  </si>
  <si>
    <t>2,040</t>
  </si>
  <si>
    <t>Mốc ở cột này là CLIP ORACLE 0.7037: micro nằm DƯỚI nó nghĩa là mô hình không chỉ đang xếp hạng window.</t>
  </si>
  <si>
    <t>KIP-off — TRUNG BÌNH 3 seed</t>
  </si>
  <si>
    <t>So với FRAME LINEAR PROBE 0.5983 (trần của đặc trưng). KIP-off macro 0.6248 VƯỢT probe, và macro ≥ micro → SỰ SỤP ĐỔ KIỂU TAD (C14) KHÔNG TÁI DIỄN. Đây là corpus ĐẦU TIÊN của đề tài mà huấn luyện in-domain không phá hủy định vị.</t>
  </si>
  <si>
    <t>Phase 5 (Option A): flow target chuẩn hoá z-score, lambda_rec = 1/V = 0.9953. Mốc ở cột này là CLIP ORACLE 0.7037.</t>
  </si>
  <si>
    <t>KIP-on (TRUNG BÌNH 3 seed)</t>
  </si>
  <si>
    <t>Cao nhất trong ba arm ở cả micro lẫn macro, và macro ≥ micro vẫn giữ</t>
  </si>
  <si>
    <t>KIP-off  (TRUNG BÌNH 3 seed)</t>
  </si>
  <si>
    <t>Mốc phải vượt = arm KIP-on huấn luyện trên MSAD (0.6408 micro / 0.6529 macro). CHƯA VƯỢT. Lưu ý: khoảng tin cậy của các dòng DoTA này rộng gấp ~20 lần chính Δ của chúng — KHÔNG TRÍCH DẪN chúng như một kết quả.</t>
  </si>
  <si>
    <t>Vẫn CHƯA VƯỢT mốc MSAD KIP-on (0.6408 / 0.6529); macro 0.6376 kém 0.015, nằm trong 1 sd (0.017)</t>
  </si>
  <si>
    <t>5.2 A/B ghép cặp KIP trên DADA2000 — Δ = (KIP-on − KIP-off), n = 3</t>
  </si>
  <si>
    <t>Pair</t>
  </si>
  <si>
    <t>DADA2000 (test set - in domain)</t>
  </si>
  <si>
    <t>Chỉ số CHÍNH đăng ký trước. Khoảng tin cậy chứa 0 (sát mép) → NULL CÓ BIÊN: hiệu ứng in-domain &lt; ~1,5 điểm AUC. KHÔNG thêm seed để đẩy qua 0.</t>
  </si>
  <si>
    <t>Khoảng tin cậy chứa 0 — không kết luận được.</t>
  </si>
  <si>
    <t>− − +</t>
  </si>
  <si>
    <t>Khoảng tin cậy chứa 0 — chỉ báo cáo, không dùng để quyết định.</t>
  </si>
  <si>
    <t>6. CẤU HÌNH HUẤN LUYỆN CỦA CÁC ARM CHÍNH</t>
  </si>
  <si>
    <t>Giai đoạn</t>
  </si>
  <si>
    <t>Batch</t>
  </si>
  <si>
    <t>LR</t>
  </si>
  <si>
    <t>mil_topk_pct</t>
  </si>
  <si>
    <t>MSAD (cold)</t>
  </si>
  <si>
    <t>stage 1 + stage 2</t>
  </si>
  <si>
    <t>5e-5</t>
  </si>
  <si>
    <t>16 %</t>
  </si>
  <si>
    <t>KIP stage 1 đóng băng mọi thứ ngoài kip.*; stage 2 mở khóa trunk.</t>
  </si>
  <si>
    <t>MSAD (PreVAD-trunk)</t>
  </si>
  <si>
    <t>stage 2, khởi động
warm-up từ checkpoint
trained trên PreVAD</t>
  </si>
  <si>
    <t>Khởi động ấm từ trunk PreVAD → chỉ cần 160 bước và cho kết quả MSAD tốt nhất.</t>
  </si>
  <si>
    <t>stage 2 (chỉ KIP-off)</t>
  </si>
  <si>
    <t>PreVAD chỉ ship đặc trưng CLIP, KHÔNG có pixel → vĩnh viễn không thể có arm KIP-on. Đã chốt 2026-08-29.</t>
  </si>
  <si>
    <t>A/B của KIP bị chặn bởi C14.</t>
  </si>
  <si>
    <t>DADA gốc / T2 W=20</t>
  </si>
  <si>
    <t>DADA2000_orig</t>
  </si>
  <si>
    <t>5 %</t>
  </si>
  <si>
    <t>Hai tham số này được HẠ có chủ đích cho window ngắn: kernel 9→3, top-k 16→5 % (ở L=20, top-k 16 % cho k=1 và L_MIL suy biến thành max thuần).</t>
  </si>
  <si>
    <t>7. TỔNG KẾT</t>
  </si>
  <si>
    <t>Claim</t>
  </si>
  <si>
    <t>Code port từ LaGoVAD qua là code đúng khi đã reproduce được kết quả cho
các dataset (MSAD, DoTA, PreVAD).</t>
  </si>
  <si>
    <t>KIP mang lại +0.09 AUC trên DoTA khi huấn luyện trên MSAD.</t>
  </si>
  <si>
    <t>0.09 đó KHÔNG phải do chuyển động. Arm A2 (channel shift 50 %, không flow, không PMG, không loss KIP); đóng góp đo được là Temporal Smooth</t>
  </si>
  <si>
    <t>5</t>
  </si>
  <si>
    <t>Hiện tại khẳng định của đề tài là optical flow giúp học được chuyển động, mã hoá được vận 
tốc trong video đang chưa khẳng định được</t>
  </si>
  <si>
    <t>Micro AUC của TAD hiện rất cao nhưng không sử dụng được vì macro AUC rất thấp, việc micro
AUC cao do model học được cách phân loại theo clip thay vì phân loại theo frame</t>
  </si>
  <si>
    <t>8</t>
  </si>
  <si>
    <t>DADA2000 W=20 (macro 0.6248 &gt; probe 0.5983, và macro ≥ micro) đưa macro, micro AUC 
về đúng nhưng kết quả chưa cao và KIP on chưa đạt được hiệu quả</t>
  </si>
  <si>
    <t>'KIP cải thiện T2' hoặc 'KIP cải thiện DoTA zero-shot khi train trên T2' (3/3 seed dương nhưng khoảng tin cậy chứa 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</si>
</sst>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
    <numFmt numFmtId="166" formatCode="0.0000"/>
    <numFmt numFmtId="167" formatCode="0.000"/>
    <numFmt numFmtId="168" formatCode="+0.0000;-0.0000;0.0000"/>
    <numFmt numFmtId="169" formatCode="+0.000;-0.000;0.000"/>
    <numFmt numFmtId="170" formatCode="0.00"/>
  </numFmts>
  <fonts count="31">
    <font>
      <sz val="10.0"/>
      <color rgb="FF000000"/>
      <name val="Arial"/>
      <scheme val="minor"/>
    </font>
    <font>
      <color theme="1"/>
      <name val="Arial"/>
    </font>
    <font>
      <sz val="10.0"/>
      <color rgb="FF000000"/>
      <name val="Arial"/>
    </font>
    <font>
      <color rgb="FF000000"/>
      <name val="Arial"/>
    </font>
    <font>
      <u/>
      <color rgb="FF0000FF"/>
    </font>
    <font>
      <b/>
      <sz val="16.0"/>
      <color rgb="FF1F3864"/>
      <name val="Arial"/>
    </font>
    <font>
      <b/>
      <sz val="12.0"/>
      <color rgb="FFFFFFFF"/>
      <name val="Arial"/>
    </font>
    <font>
      <i/>
      <sz val="9.0"/>
      <color rgb="FF595959"/>
      <name val="Arial"/>
    </font>
    <font>
      <b/>
      <sz val="10.0"/>
      <color rgb="FF1F3864"/>
      <name val="Arial"/>
    </font>
    <font/>
    <font>
      <b/>
      <sz val="10.0"/>
      <color theme="1"/>
      <name val="Arial"/>
    </font>
    <font>
      <sz val="10.0"/>
      <color theme="1"/>
      <name val="Arial"/>
    </font>
    <font>
      <sz val="11.0"/>
      <color rgb="FF595959"/>
      <name val="Arial"/>
    </font>
    <font>
      <sz val="11.0"/>
      <color rgb="FF1F3864"/>
      <name val="Arial"/>
    </font>
    <font>
      <sz val="10.0"/>
      <color rgb="FF595959"/>
      <name val="Arial"/>
    </font>
    <font>
      <sz val="10.0"/>
      <color rgb="FF1F3864"/>
      <name val="Arial"/>
    </font>
    <font>
      <sz val="17.0"/>
      <color rgb="FF000000"/>
      <name val="Arial"/>
    </font>
    <font>
      <b/>
      <sz val="16.0"/>
      <color rgb="FF1F3864"/>
      <name val="Arial"/>
      <scheme val="minor"/>
    </font>
    <font>
      <b/>
      <sz val="12.0"/>
      <color rgb="FFFFFFFF"/>
      <name val="Arial"/>
      <scheme val="minor"/>
    </font>
    <font>
      <b/>
      <sz val="10.0"/>
      <color rgb="FF1F3864"/>
      <name val="Arial"/>
      <scheme val="minor"/>
    </font>
    <font>
      <sz val="10.0"/>
      <color theme="1"/>
      <name val="Arial"/>
      <scheme val="minor"/>
    </font>
    <font>
      <sz val="9.0"/>
      <color rgb="FF595959"/>
      <name val="Arial"/>
      <scheme val="minor"/>
    </font>
    <font>
      <b/>
      <sz val="10.0"/>
      <color theme="1"/>
      <name val="Arial"/>
      <scheme val="minor"/>
    </font>
    <font>
      <b/>
      <color theme="1"/>
      <name val="Arial"/>
    </font>
    <font>
      <b/>
      <color rgb="FF1F3864"/>
      <name val="Arial"/>
    </font>
    <font>
      <b/>
      <sz val="16"/>
      <color rgb="FF1F3864"/>
      <name val="Arial"/>
    </font>
    <font>
      <b/>
      <sz val="12"/>
      <color rgb="FFFFFFFF"/>
      <name val="Arial"/>
    </font>
    <font>
      <b/>
      <sz val="10"/>
      <color rgb="FF1F3864"/>
      <name val="Arial"/>
    </font>
    <font>
      <sz val="10"/>
      <color rgb="FF000000"/>
      <name val="Arial"/>
    </font>
    <font>
      <i/>
      <sz val="9"/>
      <color rgb="FF595959"/>
      <name val="Arial"/>
    </font>
    <font>
      <b/>
      <sz val="10"/>
      <color rgb="FF000000"/>
      <name val="Arial"/>
    </font>
  </fonts>
  <fills count="17">
    <fill>
      <patternFill patternType="none"/>
    </fill>
    <fill>
      <patternFill patternType="lightGray"/>
    </fill>
    <fill>
      <patternFill patternType="solid">
        <fgColor rgb="FFFF9900"/>
        <bgColor rgb="FFFF9900"/>
      </patternFill>
    </fill>
    <fill>
      <patternFill patternType="solid">
        <fgColor rgb="FF1F3864"/>
        <bgColor rgb="FF1F3864"/>
      </patternFill>
    </fill>
    <fill>
      <patternFill patternType="solid">
        <fgColor rgb="FFD9E2F3"/>
        <bgColor rgb="FFD9E2F3"/>
      </patternFill>
    </fill>
    <fill>
      <patternFill patternType="solid">
        <fgColor rgb="FFE2EFDA"/>
        <bgColor rgb="FFE2EFDA"/>
      </patternFill>
    </fill>
    <fill>
      <patternFill patternType="solid">
        <fgColor rgb="FFFCE4E4"/>
        <bgColor rgb="FFFCE4E4"/>
      </patternFill>
    </fill>
    <fill>
      <patternFill patternType="solid">
        <fgColor rgb="FFFFF2CC"/>
        <bgColor rgb="FFFFF2CC"/>
      </patternFill>
    </fill>
    <fill>
      <patternFill patternType="solid">
        <fgColor rgb="FFFFE699"/>
        <bgColor rgb="FFFFE699"/>
      </patternFill>
    </fill>
    <fill>
      <patternFill patternType="solid">
        <fgColor rgb="FFDDEBF7"/>
        <bgColor rgb="FFDDEBF7"/>
      </patternFill>
    </fill>
    <fill>
      <patternFill patternType="solid">
        <fgColor rgb="FFF8CBAD"/>
        <bgColor rgb="FFF8CBAD"/>
      </patternFill>
    </fill>
    <fill>
      <patternFill patternType="solid">
        <fgColor rgb="FFF2F2F2"/>
        <bgColor rgb="FFF2F2F2"/>
      </patternFill>
    </fill>
    <fill>
      <patternFill patternType="solid">
        <fgColor rgb="FFFFE599"/>
        <bgColor rgb="FFFFE599"/>
      </patternFill>
    </fill>
    <fill>
      <patternFill patternType="solid">
        <fgColor rgb="FFF9CB9C"/>
        <bgColor rgb="FFF9CB9C"/>
      </patternFill>
    </fill>
    <fill>
      <patternFill patternType="solid">
        <fgColor rgb="FF1F3864"/>
        <bgColor rgb="FF1F3864"/>
      </patternFill>
    </fill>
    <fill>
      <patternFill patternType="solid">
        <fgColor rgb="FFD9E2F3"/>
        <bgColor rgb="FFD9E2F3"/>
      </patternFill>
    </fill>
    <fill>
      <patternFill patternType="solid">
        <fgColor rgb="FFE2EFDA"/>
        <bgColor rgb="FFE2EFDA"/>
      </patternFill>
    </fill>
  </fills>
  <borders count="10">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right style="thin">
        <color rgb="FFD0D0D0"/>
      </right>
      <top style="thin">
        <color rgb="FFD0D0D0"/>
      </top>
      <bottom style="thin">
        <color rgb="FFD0D0D0"/>
      </bottom>
    </border>
    <border>
      <top style="thin">
        <color rgb="FFD0D0D0"/>
      </top>
      <bottom style="thin">
        <color rgb="FFD0D0D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diagonal/>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2" fontId="1" numFmtId="0" xfId="0" applyFill="1" applyFont="1"/>
    <xf borderId="0" fillId="0" fontId="5" numFmtId="0" xfId="0" applyFont="1"/>
    <xf borderId="0" fillId="3" fontId="6" numFmtId="0" xfId="0" applyAlignment="1" applyFill="1" applyFont="1">
      <alignment vertical="center"/>
    </xf>
    <xf borderId="0" fillId="0" fontId="7" numFmtId="0" xfId="0" applyAlignment="1" applyFont="1">
      <alignment shrinkToFit="0" vertical="top" wrapText="1"/>
    </xf>
    <xf borderId="1" fillId="4" fontId="8" numFmtId="0" xfId="0" applyAlignment="1" applyBorder="1" applyFill="1" applyFont="1">
      <alignment horizontal="center" shrinkToFit="0" vertical="center" wrapText="1"/>
    </xf>
    <xf borderId="2" fillId="4" fontId="8" numFmtId="0" xfId="0" applyAlignment="1" applyBorder="1" applyFill="1" applyFont="1">
      <alignment horizontal="center" shrinkToFit="0" vertical="center" wrapText="1"/>
    </xf>
    <xf borderId="3" fillId="0" fontId="9" numFmtId="0" xfId="0" applyBorder="1" applyFont="1"/>
    <xf borderId="4" fillId="0" fontId="9" numFmtId="0" xfId="0" applyBorder="1" applyFont="1"/>
    <xf borderId="1" fillId="5" fontId="10" numFmtId="0" xfId="0" applyAlignment="1" applyBorder="1" applyFill="1" applyFont="1">
      <alignment shrinkToFit="0" vertical="top" wrapText="1"/>
    </xf>
    <xf borderId="1" fillId="5" fontId="11" numFmtId="0" xfId="0" applyAlignment="1" applyBorder="1" applyFill="1" applyFont="1">
      <alignment shrinkToFit="0" vertical="top" wrapText="1"/>
    </xf>
    <xf borderId="2" fillId="5" fontId="11" numFmtId="0" xfId="0" applyAlignment="1" applyBorder="1" applyFill="1" applyFont="1">
      <alignment shrinkToFit="0" vertical="top" wrapText="1"/>
    </xf>
    <xf borderId="1" fillId="0" fontId="12" numFmtId="0" xfId="0" applyAlignment="1" applyBorder="1" applyFont="1">
      <alignment shrinkToFit="0" vertical="top" wrapText="1"/>
    </xf>
    <xf borderId="1" fillId="6" fontId="10" numFmtId="0" xfId="0" applyAlignment="1" applyBorder="1" applyFill="1" applyFont="1">
      <alignment shrinkToFit="0" vertical="top" wrapText="1"/>
    </xf>
    <xf borderId="1" fillId="6" fontId="11" numFmtId="0" xfId="0" applyAlignment="1" applyBorder="1" applyFill="1" applyFont="1">
      <alignment shrinkToFit="0" vertical="top" wrapText="1"/>
    </xf>
    <xf borderId="2" fillId="6" fontId="11" numFmtId="0" xfId="0" applyAlignment="1" applyBorder="1" applyFill="1" applyFont="1">
      <alignment readingOrder="0" shrinkToFit="0" vertical="top" wrapText="1"/>
    </xf>
    <xf borderId="2" fillId="6" fontId="11" numFmtId="0" xfId="0" applyAlignment="1" applyBorder="1" applyFill="1" applyFont="1">
      <alignment shrinkToFit="0" vertical="top" wrapText="1"/>
    </xf>
    <xf borderId="1" fillId="0" fontId="12" numFmtId="0" xfId="0" applyAlignment="1" applyBorder="1" applyFont="1">
      <alignment readingOrder="0" shrinkToFit="0" vertical="top" wrapText="1"/>
    </xf>
    <xf borderId="2" fillId="5" fontId="11" numFmtId="0" xfId="0" applyAlignment="1" applyBorder="1" applyFill="1" applyFont="1">
      <alignment readingOrder="0" shrinkToFit="0" vertical="top" wrapText="1"/>
    </xf>
    <xf borderId="1" fillId="5" fontId="11" numFmtId="0" xfId="0" applyAlignment="1" applyBorder="1" applyFill="1" applyFont="1">
      <alignment readingOrder="0" shrinkToFit="0" vertical="top" wrapText="1"/>
    </xf>
    <xf borderId="1" fillId="4" fontId="8" numFmtId="0" xfId="0" applyAlignment="1" applyBorder="1" applyFill="1" applyFont="1">
      <alignment horizontal="center" readingOrder="0" shrinkToFit="0" vertical="center" wrapText="1"/>
    </xf>
    <xf borderId="1" fillId="4" fontId="13" numFmtId="0" xfId="0" applyAlignment="1" applyBorder="1" applyFill="1" applyFont="1">
      <alignment horizontal="center" readingOrder="0" shrinkToFit="0" vertical="center" wrapText="1"/>
    </xf>
    <xf borderId="1" fillId="0" fontId="11" numFmtId="0" xfId="0" applyAlignment="1" applyBorder="1" applyFont="1">
      <alignment shrinkToFit="0" vertical="center" wrapText="1"/>
    </xf>
    <xf borderId="1" fillId="0" fontId="11" numFmtId="3" xfId="0" applyAlignment="1" applyBorder="1" applyFont="1" applyNumberFormat="1">
      <alignment horizontal="center" vertical="center"/>
    </xf>
    <xf borderId="1" fillId="0" fontId="14" numFmtId="0" xfId="0" applyAlignment="1" applyBorder="1" applyFont="1">
      <alignment shrinkToFit="0" vertical="top" wrapText="1"/>
    </xf>
    <xf borderId="1" fillId="0" fontId="14" numFmtId="0" xfId="0" applyAlignment="1" applyBorder="1" applyFont="1">
      <alignment readingOrder="0" shrinkToFit="0" vertical="top" wrapText="1"/>
    </xf>
    <xf borderId="1" fillId="0" fontId="11" numFmtId="0" xfId="0" applyAlignment="1" applyBorder="1" applyFont="1">
      <alignment readingOrder="0" shrinkToFit="0" vertical="center" wrapText="1"/>
    </xf>
    <xf borderId="1" fillId="0" fontId="11" numFmtId="164" xfId="0" applyAlignment="1" applyBorder="1" applyFont="1" applyNumberFormat="1">
      <alignment horizontal="center" vertical="center"/>
    </xf>
    <xf borderId="1" fillId="0" fontId="11" numFmtId="165" xfId="0" applyAlignment="1" applyBorder="1" applyFont="1" applyNumberFormat="1">
      <alignment horizontal="center" vertical="center"/>
    </xf>
    <xf borderId="1" fillId="0" fontId="11" numFmtId="1" xfId="0" applyAlignment="1" applyBorder="1" applyFont="1" applyNumberFormat="1">
      <alignment horizontal="center" vertical="center"/>
    </xf>
    <xf borderId="0" fillId="3" fontId="6" numFmtId="0" xfId="0" applyAlignment="1" applyFill="1" applyFont="1">
      <alignment readingOrder="0" vertical="center"/>
    </xf>
    <xf borderId="1" fillId="0" fontId="7" numFmtId="0" xfId="0" applyAlignment="1" applyBorder="1" applyFont="1">
      <alignment shrinkToFit="0" vertical="top" wrapText="1"/>
    </xf>
    <xf borderId="1" fillId="0" fontId="10" numFmtId="0" xfId="0" applyAlignment="1" applyBorder="1" applyFont="1">
      <alignment shrinkToFit="0" vertical="center" wrapText="1"/>
    </xf>
    <xf borderId="1" fillId="5" fontId="10" numFmtId="166" xfId="0" applyAlignment="1" applyBorder="1" applyFill="1" applyFont="1" applyNumberFormat="1">
      <alignment horizontal="center" vertical="center"/>
    </xf>
    <xf borderId="1" fillId="6" fontId="10" numFmtId="166" xfId="0" applyAlignment="1" applyBorder="1" applyFill="1" applyFont="1" applyNumberFormat="1">
      <alignment horizontal="center" vertical="center"/>
    </xf>
    <xf borderId="1" fillId="0" fontId="10" numFmtId="166" xfId="0" applyAlignment="1" applyBorder="1" applyFont="1" applyNumberFormat="1">
      <alignment horizontal="center" vertical="center"/>
    </xf>
    <xf borderId="1" fillId="0" fontId="11" numFmtId="166" xfId="0" applyAlignment="1" applyBorder="1" applyFont="1" applyNumberFormat="1">
      <alignment horizontal="center" vertical="center"/>
    </xf>
    <xf borderId="1" fillId="0" fontId="11" numFmtId="0" xfId="0" applyAlignment="1" applyBorder="1" applyFont="1">
      <alignment horizontal="center" vertical="center"/>
    </xf>
    <xf borderId="1" fillId="0" fontId="11" numFmtId="10" xfId="0" applyAlignment="1" applyBorder="1" applyFont="1" applyNumberFormat="1">
      <alignment horizontal="center" vertical="center"/>
    </xf>
    <xf borderId="1" fillId="4" fontId="15" numFmtId="0" xfId="0" applyAlignment="1" applyBorder="1" applyFill="1" applyFont="1">
      <alignment horizontal="center" shrinkToFit="0" vertical="center" wrapText="1"/>
    </xf>
    <xf borderId="1" fillId="0" fontId="10" numFmtId="0" xfId="0" applyAlignment="1" applyBorder="1" applyFont="1">
      <alignment horizontal="center" vertical="center"/>
    </xf>
    <xf borderId="1" fillId="7" fontId="10" numFmtId="166" xfId="0" applyAlignment="1" applyBorder="1" applyFill="1" applyFont="1" applyNumberFormat="1">
      <alignment horizontal="center" vertical="center"/>
    </xf>
    <xf borderId="1" fillId="0" fontId="11" numFmtId="167" xfId="0" applyAlignment="1" applyBorder="1" applyFont="1" applyNumberFormat="1">
      <alignment horizontal="center" vertical="center"/>
    </xf>
    <xf borderId="1" fillId="0" fontId="11" numFmtId="2" xfId="0" applyAlignment="1" applyBorder="1" applyFont="1" applyNumberFormat="1">
      <alignment horizontal="center" vertical="center"/>
    </xf>
    <xf borderId="1" fillId="0" fontId="10" numFmtId="0" xfId="0" applyAlignment="1" applyBorder="1" applyFont="1">
      <alignment shrinkToFit="0" vertical="top" wrapText="1"/>
    </xf>
    <xf borderId="1" fillId="8" fontId="10" numFmtId="0" xfId="0" applyAlignment="1" applyBorder="1" applyFill="1" applyFont="1">
      <alignment horizontal="center" vertical="center"/>
    </xf>
    <xf borderId="2" fillId="0" fontId="11" numFmtId="0" xfId="0" applyAlignment="1" applyBorder="1" applyFont="1">
      <alignment readingOrder="0" shrinkToFit="0" vertical="top" wrapText="1"/>
    </xf>
    <xf borderId="2" fillId="0" fontId="11" numFmtId="0" xfId="0" applyAlignment="1" applyBorder="1" applyFont="1">
      <alignment shrinkToFit="0" vertical="top" wrapText="1"/>
    </xf>
    <xf borderId="1" fillId="9" fontId="10" numFmtId="0" xfId="0" applyAlignment="1" applyBorder="1" applyFill="1" applyFont="1">
      <alignment horizontal="center" vertical="center"/>
    </xf>
    <xf borderId="1" fillId="10" fontId="10" numFmtId="0" xfId="0" applyAlignment="1" applyBorder="1" applyFill="1" applyFont="1">
      <alignment horizontal="center" vertical="center"/>
    </xf>
    <xf borderId="1" fillId="0" fontId="10" numFmtId="0" xfId="0" applyAlignment="1" applyBorder="1" applyFont="1">
      <alignment readingOrder="0" shrinkToFit="0" vertical="top" wrapText="1"/>
    </xf>
    <xf borderId="2" fillId="4" fontId="11" numFmtId="0" xfId="0" applyAlignment="1" applyBorder="1" applyFill="1" applyFont="1">
      <alignment shrinkToFit="0" vertical="top" wrapText="1"/>
    </xf>
    <xf borderId="1" fillId="0" fontId="2" numFmtId="0" xfId="0" applyAlignment="1" applyBorder="1" applyFont="1">
      <alignment horizontal="center" vertical="center"/>
    </xf>
    <xf borderId="1" fillId="0" fontId="2" numFmtId="166" xfId="0" applyAlignment="1" applyBorder="1" applyFont="1" applyNumberFormat="1">
      <alignment horizontal="center" vertical="center"/>
    </xf>
    <xf borderId="1" fillId="5" fontId="2" numFmtId="166" xfId="0" applyAlignment="1" applyBorder="1" applyFill="1" applyFont="1" applyNumberFormat="1">
      <alignment horizontal="center" vertical="center"/>
    </xf>
    <xf borderId="1" fillId="0" fontId="2" numFmtId="0" xfId="0" applyBorder="1" applyFont="1"/>
    <xf borderId="1" fillId="6" fontId="2" numFmtId="166" xfId="0" applyAlignment="1" applyBorder="1" applyFill="1" applyFont="1" applyNumberFormat="1">
      <alignment horizontal="center" vertical="center"/>
    </xf>
    <xf borderId="1" fillId="0" fontId="2" numFmtId="3" xfId="0" applyAlignment="1" applyBorder="1" applyFont="1" applyNumberFormat="1">
      <alignment horizontal="center" vertical="center"/>
    </xf>
    <xf borderId="1" fillId="5" fontId="2" numFmtId="3" xfId="0" applyAlignment="1" applyBorder="1" applyFill="1" applyFont="1" applyNumberFormat="1">
      <alignment horizontal="center" vertical="center"/>
    </xf>
    <xf borderId="2" fillId="7" fontId="11" numFmtId="0" xfId="0" applyAlignment="1" applyBorder="1" applyFill="1" applyFont="1">
      <alignment shrinkToFit="0" vertical="top" wrapText="1"/>
    </xf>
    <xf borderId="2" fillId="0" fontId="10" numFmtId="0" xfId="0" applyAlignment="1" applyBorder="1" applyFont="1">
      <alignment readingOrder="0" shrinkToFit="0" vertical="top" wrapText="1"/>
    </xf>
    <xf borderId="2" fillId="11" fontId="11" numFmtId="0" xfId="0" applyAlignment="1" applyBorder="1" applyFill="1" applyFont="1">
      <alignment shrinkToFit="0" vertical="top" wrapText="1"/>
    </xf>
    <xf borderId="0" fillId="0" fontId="16" numFmtId="0" xfId="0" applyAlignment="1" applyFont="1">
      <alignment readingOrder="0"/>
    </xf>
    <xf borderId="0" fillId="0" fontId="17" numFmtId="0" xfId="0" applyAlignment="1" applyFont="1">
      <alignment readingOrder="0"/>
    </xf>
    <xf borderId="0" fillId="3" fontId="18" numFmtId="0" xfId="0" applyAlignment="1" applyFill="1" applyFont="1">
      <alignment readingOrder="0"/>
    </xf>
    <xf borderId="0" fillId="3" fontId="18" numFmtId="0" xfId="0" applyFill="1" applyFont="1"/>
    <xf borderId="0" fillId="0" fontId="2" numFmtId="0" xfId="0" applyAlignment="1" applyFont="1">
      <alignment readingOrder="0"/>
    </xf>
    <xf borderId="0" fillId="0" fontId="2" numFmtId="0" xfId="0" applyAlignment="1" applyFont="1">
      <alignment horizontal="right"/>
    </xf>
    <xf borderId="0" fillId="0" fontId="19" numFmtId="0" xfId="0" applyAlignment="1" applyFont="1">
      <alignment readingOrder="0"/>
    </xf>
    <xf borderId="5" fillId="4" fontId="19" numFmtId="0" xfId="0" applyAlignment="1" applyBorder="1" applyFill="1" applyFont="1">
      <alignment horizontal="center" shrinkToFit="0" vertical="center" wrapText="1"/>
    </xf>
    <xf borderId="5" fillId="4" fontId="19" numFmtId="0" xfId="0" applyAlignment="1" applyBorder="1" applyFill="1" applyFont="1">
      <alignment horizontal="center" readingOrder="0" shrinkToFit="0" vertical="center" wrapText="1"/>
    </xf>
    <xf borderId="5" fillId="5" fontId="20" numFmtId="0" xfId="0" applyAlignment="1" applyBorder="1" applyFill="1" applyFont="1">
      <alignment shrinkToFit="0" vertical="top" wrapText="1"/>
    </xf>
    <xf borderId="5" fillId="5" fontId="20" numFmtId="0" xfId="0" applyAlignment="1" applyBorder="1" applyFill="1" applyFont="1">
      <alignment readingOrder="0" shrinkToFit="0" vertical="top" wrapText="1"/>
    </xf>
    <xf borderId="5" fillId="5" fontId="20" numFmtId="166" xfId="0" applyAlignment="1" applyBorder="1" applyFill="1" applyFont="1" applyNumberFormat="1">
      <alignment shrinkToFit="0" vertical="top" wrapText="1"/>
    </xf>
    <xf borderId="5" fillId="5" fontId="20" numFmtId="166" xfId="0" applyAlignment="1" applyBorder="1" applyFill="1" applyFont="1" applyNumberFormat="1">
      <alignment horizontal="center" shrinkToFit="0" vertical="center" wrapText="1"/>
    </xf>
    <xf borderId="5" fillId="5" fontId="20" numFmtId="0" xfId="0" applyAlignment="1" applyBorder="1" applyFill="1" applyFont="1">
      <alignment horizontal="center" shrinkToFit="0" vertical="center" wrapText="1"/>
    </xf>
    <xf borderId="5" fillId="0" fontId="20" numFmtId="0" xfId="0" applyAlignment="1" applyBorder="1" applyFont="1">
      <alignment readingOrder="0" shrinkToFit="0" vertical="top" wrapText="1"/>
    </xf>
    <xf borderId="5" fillId="0" fontId="20" numFmtId="0" xfId="0" applyAlignment="1" applyBorder="1" applyFont="1">
      <alignment shrinkToFit="0" vertical="top" wrapText="1"/>
    </xf>
    <xf borderId="5" fillId="0" fontId="20" numFmtId="0" xfId="0" applyAlignment="1" applyBorder="1" applyFont="1">
      <alignment horizontal="center" shrinkToFit="0" vertical="center" wrapText="1"/>
    </xf>
    <xf borderId="5" fillId="10" fontId="20" numFmtId="0" xfId="0" applyAlignment="1" applyBorder="1" applyFill="1" applyFont="1">
      <alignment shrinkToFit="0" vertical="top" wrapText="1"/>
    </xf>
    <xf borderId="5" fillId="10" fontId="20" numFmtId="0" xfId="0" applyAlignment="1" applyBorder="1" applyFill="1" applyFont="1">
      <alignment readingOrder="0" shrinkToFit="0" vertical="top" wrapText="1"/>
    </xf>
    <xf borderId="5" fillId="10" fontId="20" numFmtId="166" xfId="0" applyAlignment="1" applyBorder="1" applyFill="1" applyFont="1" applyNumberFormat="1">
      <alignment shrinkToFit="0" vertical="top" wrapText="1"/>
    </xf>
    <xf borderId="5" fillId="10" fontId="20" numFmtId="166" xfId="0" applyAlignment="1" applyBorder="1" applyFill="1" applyFont="1" applyNumberFormat="1">
      <alignment horizontal="center" shrinkToFit="0" vertical="center" wrapText="1"/>
    </xf>
    <xf borderId="5" fillId="10" fontId="20" numFmtId="0" xfId="0" applyAlignment="1" applyBorder="1" applyFill="1" applyFont="1">
      <alignment horizontal="center" shrinkToFit="0" vertical="center" wrapText="1"/>
    </xf>
    <xf borderId="0" fillId="0" fontId="21" numFmtId="0" xfId="0" applyAlignment="1" applyFont="1">
      <alignment shrinkToFit="0" vertical="top" wrapText="1"/>
    </xf>
    <xf borderId="5" fillId="8" fontId="20" numFmtId="0" xfId="0" applyAlignment="1" applyBorder="1" applyFill="1" applyFont="1">
      <alignment shrinkToFit="0" vertical="top" wrapText="1"/>
    </xf>
    <xf borderId="5" fillId="8" fontId="20" numFmtId="0" xfId="0" applyAlignment="1" applyBorder="1" applyFill="1" applyFont="1">
      <alignment horizontal="center" shrinkToFit="0" vertical="center" wrapText="1"/>
    </xf>
    <xf borderId="5" fillId="8" fontId="20" numFmtId="166" xfId="0" applyAlignment="1" applyBorder="1" applyFill="1" applyFont="1" applyNumberFormat="1">
      <alignment horizontal="center" shrinkToFit="0" vertical="center" wrapText="1"/>
    </xf>
    <xf borderId="5" fillId="8" fontId="20" numFmtId="0" xfId="0" applyAlignment="1" applyBorder="1" applyFill="1" applyFont="1">
      <alignment readingOrder="0" shrinkToFit="0" vertical="top" wrapText="1"/>
    </xf>
    <xf borderId="5" fillId="0" fontId="20" numFmtId="166" xfId="0" applyAlignment="1" applyBorder="1" applyFont="1" applyNumberFormat="1">
      <alignment horizontal="center" shrinkToFit="0" vertical="center" wrapText="1"/>
    </xf>
    <xf borderId="5" fillId="12" fontId="20" numFmtId="0" xfId="0" applyAlignment="1" applyBorder="1" applyFill="1" applyFont="1">
      <alignment readingOrder="0" shrinkToFit="0" vertical="top" wrapText="1"/>
    </xf>
    <xf borderId="0" fillId="0" fontId="19" numFmtId="0" xfId="0" applyFont="1"/>
    <xf borderId="0" fillId="0" fontId="21" numFmtId="0" xfId="0" applyAlignment="1" applyFont="1">
      <alignment readingOrder="0" shrinkToFit="0" vertical="top" wrapText="1"/>
    </xf>
    <xf borderId="5" fillId="5" fontId="22" numFmtId="0" xfId="0" applyAlignment="1" applyBorder="1" applyFill="1" applyFont="1">
      <alignment shrinkToFit="0" vertical="top" wrapText="1"/>
    </xf>
    <xf borderId="5" fillId="5" fontId="22" numFmtId="0" xfId="0" applyAlignment="1" applyBorder="1" applyFill="1" applyFont="1">
      <alignment readingOrder="0" shrinkToFit="0" vertical="top" wrapText="1"/>
    </xf>
    <xf borderId="5" fillId="5" fontId="22" numFmtId="0" xfId="0" applyAlignment="1" applyBorder="1" applyFill="1" applyFont="1">
      <alignment horizontal="center" shrinkToFit="0" vertical="center" wrapText="1"/>
    </xf>
    <xf borderId="5" fillId="5" fontId="22" numFmtId="166" xfId="0" applyAlignment="1" applyBorder="1" applyFill="1" applyFont="1" applyNumberFormat="1">
      <alignment horizontal="center" shrinkToFit="0" vertical="center" wrapText="1"/>
    </xf>
    <xf borderId="5" fillId="0" fontId="1" numFmtId="0" xfId="0" applyAlignment="1" applyBorder="1" applyFont="1">
      <alignment readingOrder="0" shrinkToFit="0" vertical="top" wrapText="1"/>
    </xf>
    <xf borderId="5" fillId="0" fontId="1" numFmtId="0" xfId="0" applyAlignment="1" applyBorder="1" applyFont="1">
      <alignment horizontal="right" shrinkToFit="0" vertical="top" wrapText="1"/>
    </xf>
    <xf borderId="5" fillId="0" fontId="1" numFmtId="0" xfId="0" applyAlignment="1" applyBorder="1" applyFont="1">
      <alignment shrinkToFit="0" vertical="top" wrapText="1"/>
    </xf>
    <xf borderId="5" fillId="0" fontId="1" numFmtId="0" xfId="0" applyAlignment="1" applyBorder="1" applyFont="1">
      <alignment horizontal="center" shrinkToFit="0" wrapText="1"/>
    </xf>
    <xf borderId="5" fillId="0" fontId="1" numFmtId="166" xfId="0" applyAlignment="1" applyBorder="1" applyFont="1" applyNumberFormat="1">
      <alignment horizontal="center" shrinkToFit="0" wrapText="1"/>
    </xf>
    <xf borderId="5" fillId="0" fontId="1" numFmtId="0" xfId="0" applyAlignment="1" applyBorder="1" applyFont="1">
      <alignment shrinkToFit="0" vertical="top" wrapText="1"/>
    </xf>
    <xf borderId="0" fillId="0" fontId="1" numFmtId="0" xfId="0" applyAlignment="1" applyFont="1">
      <alignment vertical="bottom"/>
    </xf>
    <xf borderId="5" fillId="0" fontId="1" numFmtId="0" xfId="0" applyAlignment="1" applyBorder="1" applyFont="1">
      <alignment vertical="top"/>
    </xf>
    <xf borderId="5" fillId="11" fontId="23" numFmtId="0" xfId="0" applyAlignment="1" applyBorder="1" applyFill="1" applyFont="1">
      <alignment readingOrder="0" shrinkToFit="0" vertical="top" wrapText="1"/>
    </xf>
    <xf borderId="5" fillId="11" fontId="23" numFmtId="0" xfId="0" applyAlignment="1" applyBorder="1" applyFill="1" applyFont="1">
      <alignment shrinkToFit="0" vertical="top" wrapText="1"/>
    </xf>
    <xf borderId="5" fillId="11" fontId="23" numFmtId="0" xfId="0" applyAlignment="1" applyBorder="1" applyFill="1" applyFont="1">
      <alignment shrinkToFit="0" vertical="top" wrapText="1"/>
    </xf>
    <xf borderId="5" fillId="11" fontId="23" numFmtId="0" xfId="0" applyAlignment="1" applyBorder="1" applyFill="1" applyFont="1">
      <alignment horizontal="center" shrinkToFit="0" wrapText="1"/>
    </xf>
    <xf borderId="5" fillId="11" fontId="23" numFmtId="166" xfId="0" applyAlignment="1" applyBorder="1" applyFill="1" applyFont="1" applyNumberFormat="1">
      <alignment horizontal="center" shrinkToFit="0" wrapText="1"/>
    </xf>
    <xf borderId="5" fillId="8" fontId="22" numFmtId="0" xfId="0" applyAlignment="1" applyBorder="1" applyFill="1" applyFont="1">
      <alignment readingOrder="0" shrinkToFit="0" vertical="top" wrapText="1"/>
    </xf>
    <xf borderId="5" fillId="8" fontId="22" numFmtId="0" xfId="0" applyAlignment="1" applyBorder="1" applyFill="1" applyFont="1">
      <alignment shrinkToFit="0" vertical="top" wrapText="1"/>
    </xf>
    <xf borderId="5" fillId="8" fontId="22" numFmtId="0" xfId="0" applyAlignment="1" applyBorder="1" applyFill="1" applyFont="1">
      <alignment horizontal="center" shrinkToFit="0" vertical="center" wrapText="1"/>
    </xf>
    <xf borderId="5" fillId="8" fontId="22" numFmtId="166" xfId="0" applyAlignment="1" applyBorder="1" applyFill="1" applyFont="1" applyNumberFormat="1">
      <alignment horizontal="center" shrinkToFit="0" vertical="center" wrapText="1"/>
    </xf>
    <xf borderId="5" fillId="8" fontId="23" numFmtId="0" xfId="0" applyAlignment="1" applyBorder="1" applyFill="1" applyFont="1">
      <alignment readingOrder="0" shrinkToFit="0" vertical="top" wrapText="1"/>
    </xf>
    <xf borderId="5" fillId="8" fontId="23" numFmtId="0" xfId="0" applyAlignment="1" applyBorder="1" applyFill="1" applyFont="1">
      <alignment shrinkToFit="0" vertical="top" wrapText="1"/>
    </xf>
    <xf borderId="5" fillId="8" fontId="23" numFmtId="0" xfId="0" applyAlignment="1" applyBorder="1" applyFill="1" applyFont="1">
      <alignment horizontal="center" shrinkToFit="0" wrapText="1"/>
    </xf>
    <xf borderId="5" fillId="8" fontId="23" numFmtId="166" xfId="0" applyAlignment="1" applyBorder="1" applyFill="1" applyFont="1" applyNumberFormat="1">
      <alignment horizontal="center" shrinkToFit="0" wrapText="1"/>
    </xf>
    <xf borderId="5" fillId="13" fontId="1" numFmtId="0" xfId="0" applyAlignment="1" applyBorder="1" applyFill="1" applyFont="1">
      <alignment readingOrder="0" shrinkToFit="0" vertical="top" wrapText="1"/>
    </xf>
    <xf borderId="5" fillId="13" fontId="1" numFmtId="0" xfId="0" applyAlignment="1" applyBorder="1" applyFill="1" applyFont="1">
      <alignment shrinkToFit="0" vertical="top" wrapText="1"/>
    </xf>
    <xf borderId="5" fillId="13" fontId="1" numFmtId="166" xfId="0" applyAlignment="1" applyBorder="1" applyFill="1" applyFont="1" applyNumberFormat="1">
      <alignment horizontal="center" shrinkToFit="0" wrapText="1"/>
    </xf>
    <xf borderId="5" fillId="13" fontId="1" numFmtId="0" xfId="0" applyAlignment="1" applyBorder="1" applyFill="1" applyFont="1">
      <alignment horizontal="center" shrinkToFit="0" wrapText="1"/>
    </xf>
    <xf borderId="5" fillId="13" fontId="1" numFmtId="0" xfId="0" applyAlignment="1" applyBorder="1" applyFill="1" applyFont="1">
      <alignment vertical="top"/>
    </xf>
    <xf borderId="5" fillId="4" fontId="24" numFmtId="0" xfId="0" applyAlignment="1" applyBorder="1" applyFill="1" applyFont="1">
      <alignment horizontal="center" shrinkToFit="0" wrapText="1"/>
    </xf>
    <xf borderId="6" fillId="4" fontId="24" numFmtId="0" xfId="0" applyAlignment="1" applyBorder="1" applyFill="1" applyFont="1">
      <alignment horizontal="center" shrinkToFit="0" wrapText="1"/>
    </xf>
    <xf borderId="7" fillId="0" fontId="9" numFmtId="0" xfId="0" applyBorder="1" applyFont="1"/>
    <xf borderId="8" fillId="0" fontId="9" numFmtId="0" xfId="0" applyBorder="1" applyFont="1"/>
    <xf borderId="6" fillId="4" fontId="24" numFmtId="0" xfId="0" applyAlignment="1" applyBorder="1" applyFill="1" applyFont="1">
      <alignment horizontal="center" readingOrder="0" shrinkToFit="0" wrapText="1"/>
    </xf>
    <xf borderId="5" fillId="0" fontId="24" numFmtId="0" xfId="0" applyAlignment="1" applyBorder="1" applyFont="1">
      <alignment horizontal="center" shrinkToFit="0" wrapText="1"/>
    </xf>
    <xf borderId="5" fillId="5" fontId="1" numFmtId="0" xfId="0" applyAlignment="1" applyBorder="1" applyFill="1" applyFont="1">
      <alignment horizontal="center" shrinkToFit="0" wrapText="1"/>
    </xf>
    <xf borderId="6" fillId="5" fontId="1" numFmtId="0" xfId="0" applyAlignment="1" applyBorder="1" applyFill="1" applyFont="1">
      <alignment shrinkToFit="0" vertical="top" wrapText="1"/>
    </xf>
    <xf borderId="6" fillId="5" fontId="1" numFmtId="0" xfId="0" applyAlignment="1" applyBorder="1" applyFill="1" applyFont="1">
      <alignment horizontal="center" shrinkToFit="0" wrapText="1"/>
    </xf>
    <xf borderId="6" fillId="5" fontId="1" numFmtId="0" xfId="0" applyAlignment="1" applyBorder="1" applyFill="1" applyFont="1">
      <alignment shrinkToFit="0" vertical="top" wrapText="1"/>
    </xf>
    <xf borderId="5" fillId="8" fontId="1" numFmtId="0" xfId="0" applyAlignment="1" applyBorder="1" applyFill="1" applyFont="1">
      <alignment horizontal="center" shrinkToFit="0" wrapText="1"/>
    </xf>
    <xf borderId="6" fillId="8" fontId="1" numFmtId="0" xfId="0" applyAlignment="1" applyBorder="1" applyFill="1" applyFont="1">
      <alignment readingOrder="0" shrinkToFit="0" vertical="top" wrapText="1"/>
    </xf>
    <xf borderId="6" fillId="8" fontId="1" numFmtId="0" xfId="0" applyAlignment="1" applyBorder="1" applyFill="1" applyFont="1">
      <alignment horizontal="center" shrinkToFit="0" wrapText="1"/>
    </xf>
    <xf borderId="6" fillId="8" fontId="1" numFmtId="0" xfId="0" applyAlignment="1" applyBorder="1" applyFill="1" applyFont="1">
      <alignment shrinkToFit="0" vertical="top" wrapText="1"/>
    </xf>
    <xf borderId="6" fillId="8" fontId="1" numFmtId="0" xfId="0" applyAlignment="1" applyBorder="1" applyFill="1" applyFont="1">
      <alignment horizontal="center" readingOrder="0" shrinkToFit="0" wrapText="1"/>
    </xf>
    <xf borderId="5" fillId="10" fontId="1" numFmtId="0" xfId="0" applyAlignment="1" applyBorder="1" applyFill="1" applyFont="1">
      <alignment horizontal="center" shrinkToFit="0" wrapText="1"/>
    </xf>
    <xf borderId="6" fillId="10" fontId="1" numFmtId="0" xfId="0" applyAlignment="1" applyBorder="1" applyFill="1" applyFont="1">
      <alignment shrinkToFit="0" vertical="top" wrapText="1"/>
    </xf>
    <xf borderId="6" fillId="10" fontId="1" numFmtId="0" xfId="0" applyAlignment="1" applyBorder="1" applyFill="1" applyFont="1">
      <alignment horizontal="center" shrinkToFit="0" wrapText="1"/>
    </xf>
    <xf borderId="5" fillId="10" fontId="1" numFmtId="0" xfId="0" applyAlignment="1" applyBorder="1" applyFill="1" applyFont="1">
      <alignment horizontal="center" readingOrder="0" shrinkToFit="0" wrapText="1"/>
    </xf>
    <xf borderId="6" fillId="10" fontId="1" numFmtId="0" xfId="0" applyAlignment="1" applyBorder="1" applyFill="1" applyFont="1">
      <alignment shrinkToFit="0" vertical="top" wrapText="1"/>
    </xf>
    <xf borderId="6" fillId="10" fontId="1" numFmtId="0" xfId="0" applyAlignment="1" applyBorder="1" applyFill="1" applyFont="1">
      <alignment horizontal="center" readingOrder="0" shrinkToFit="0" wrapText="1"/>
    </xf>
    <xf numFmtId="0" fontId="25" fillId="0" borderId="0" xfId="0" applyFont="1" applyFill="0" applyBorder="0" applyNumberFormat="0" applyAlignment="0"/>
    <xf numFmtId="0" fontId="26" fillId="14" borderId="0" xfId="0" applyFont="1" applyFill="1" applyBorder="0" applyNumberFormat="0" applyAlignment="1">
      <alignment vertical="center"/>
    </xf>
    <xf numFmtId="0" fontId="27" fillId="0" borderId="0" xfId="0" applyFont="1" applyFill="0" applyBorder="0" applyNumberFormat="0" applyAlignment="0"/>
    <xf numFmtId="0" fontId="27" fillId="15" borderId="9" xfId="0" applyFont="1" applyFill="1" applyBorder="1" applyNumberFormat="0" applyAlignment="1">
      <alignment horizontal="center" vertical="center" wrapText="1"/>
    </xf>
    <xf numFmtId="0" fontId="29" fillId="0" borderId="0" xfId="0" applyFont="1" applyFill="0" applyBorder="0" applyNumberFormat="0" applyAlignment="1">
      <alignment horizontal="left" vertical="top" wrapText="1"/>
    </xf>
    <xf numFmtId="0" fontId="28" fillId="0" borderId="9" xfId="0" applyFont="1" applyFill="0" applyBorder="1" applyNumberFormat="0" applyAlignment="1">
      <alignment horizontal="left" vertical="top" wrapText="1"/>
    </xf>
    <xf numFmtId="0" fontId="30" fillId="0" borderId="9" xfId="0" applyFont="1" applyFill="0" applyBorder="1" applyNumberFormat="0" applyAlignment="1">
      <alignment horizontal="left" vertical="top" wrapText="1"/>
    </xf>
    <xf numFmtId="0" fontId="28" fillId="0" borderId="9" xfId="0" applyFont="1" applyFill="0" applyBorder="1" applyNumberFormat="0" applyAlignment="1">
      <alignment horizontal="center" vertical="top" wrapText="1"/>
    </xf>
    <xf numFmtId="166" fontId="28" fillId="0" borderId="9" xfId="0" applyFont="1" applyFill="0" applyBorder="1" applyNumberFormat="1" applyAlignment="1">
      <alignment horizontal="center" vertical="top" wrapText="1"/>
    </xf>
    <xf numFmtId="167" fontId="28" fillId="0" borderId="9" xfId="0" applyFont="1" applyFill="0" applyBorder="1" applyNumberFormat="1" applyAlignment="1">
      <alignment horizontal="center" vertical="top" wrapText="1"/>
    </xf>
    <xf numFmtId="170" fontId="28" fillId="0" borderId="9" xfId="0" applyFont="1" applyFill="0" applyBorder="1" applyNumberFormat="1" applyAlignment="1">
      <alignment horizontal="center" vertical="top" wrapText="1"/>
    </xf>
    <xf numFmtId="168" fontId="28" fillId="0" borderId="9" xfId="0" applyFont="1" applyFill="0" applyBorder="1" applyNumberFormat="1" applyAlignment="1">
      <alignment horizontal="center" vertical="top" wrapText="1"/>
    </xf>
    <xf numFmtId="169" fontId="28" fillId="0" borderId="9" xfId="0" applyFont="1" applyFill="0" applyBorder="1" applyNumberFormat="1" applyAlignment="1">
      <alignment horizontal="center" vertical="top" wrapText="1"/>
    </xf>
    <xf numFmtId="1" fontId="28" fillId="0" borderId="9" xfId="0" applyFont="1" applyFill="0" applyBorder="1" applyNumberFormat="1" applyAlignment="1">
      <alignment horizontal="center" vertical="top" wrapText="1"/>
    </xf>
    <xf numFmtId="164" fontId="28" fillId="0" borderId="9" xfId="0" applyFont="1" applyFill="0" applyBorder="1" applyNumberFormat="1" applyAlignment="1">
      <alignment horizontal="center" vertical="top" wrapText="1"/>
    </xf>
    <xf numFmtId="0" fontId="28" fillId="16" borderId="9" xfId="0" applyFont="1" applyFill="1" applyBorder="1" applyNumberFormat="0" applyAlignment="1">
      <alignment horizontal="left" vertical="top" wrapText="1"/>
    </xf>
    <xf numFmtId="0" fontId="30" fillId="16" borderId="9" xfId="0" applyFont="1" applyFill="1" applyBorder="1" applyNumberFormat="0" applyAlignment="1">
      <alignment horizontal="left" vertical="top" wrapText="1"/>
    </xf>
    <xf numFmtId="0" fontId="28" fillId="16" borderId="9" xfId="0" applyFont="1" applyFill="1" applyBorder="1" applyNumberFormat="0" applyAlignment="1">
      <alignment horizontal="center" vertical="top" wrapText="1"/>
    </xf>
    <xf numFmtId="166" fontId="28" fillId="16" borderId="9" xfId="0" applyFont="1" applyFill="1" applyBorder="1" applyNumberFormat="1" applyAlignment="1">
      <alignment horizontal="center" vertical="top" wrapText="1"/>
    </xf>
    <xf numFmtId="167" fontId="28" fillId="16" borderId="9" xfId="0" applyFont="1" applyFill="1" applyBorder="1" applyNumberFormat="1" applyAlignment="1">
      <alignment horizontal="center" vertical="top" wrapText="1"/>
    </xf>
    <xf numFmtId="170" fontId="28" fillId="16" borderId="9" xfId="0" applyFont="1" applyFill="1" applyBorder="1" applyNumberFormat="1" applyAlignment="1">
      <alignment horizontal="center" vertical="top" wrapText="1"/>
    </xf>
    <xf numFmtId="168" fontId="28" fillId="16" borderId="9" xfId="0" applyFont="1" applyFill="1" applyBorder="1" applyNumberFormat="1" applyAlignment="1">
      <alignment horizontal="center" vertical="top" wrapText="1"/>
    </xf>
    <xf numFmtId="169" fontId="28" fillId="16" borderId="9" xfId="0" applyFont="1" applyFill="1" applyBorder="1" applyNumberFormat="1" applyAlignment="1">
      <alignment horizontal="center" vertical="top" wrapText="1"/>
    </xf>
    <xf numFmtId="1" fontId="28" fillId="16" borderId="9" xfId="0" applyFont="1" applyFill="1" applyBorder="1" applyNumberFormat="1" applyAlignment="1">
      <alignment horizontal="center" vertical="top" wrapText="1"/>
    </xf>
    <xf numFmtId="164" fontId="28" fillId="16" borderId="9" xfId="0" applyFont="1" applyFill="1" applyBorder="1" applyNumberFormat="1" applyAlignment="1">
      <alignment horizontal="center"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7.png"/><Relationship Id="rId5" Type="http://schemas.openxmlformats.org/officeDocument/2006/relationships/image" Target="../media/image6.png"/><Relationship Id="rId6" Type="http://schemas.openxmlformats.org/officeDocument/2006/relationships/image" Target="../media/image5.png"/><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100</xdr:row>
      <xdr:rowOff>9525</xdr:rowOff>
    </xdr:from>
    <xdr:ext cx="4876800" cy="27908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180975</xdr:colOff>
      <xdr:row>114</xdr:row>
      <xdr:rowOff>133350</xdr:rowOff>
    </xdr:from>
    <xdr:ext cx="4867275" cy="28194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180975</xdr:colOff>
      <xdr:row>130</xdr:row>
      <xdr:rowOff>9525</xdr:rowOff>
    </xdr:from>
    <xdr:ext cx="4876800" cy="27813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190500</xdr:colOff>
      <xdr:row>145</xdr:row>
      <xdr:rowOff>47625</xdr:rowOff>
    </xdr:from>
    <xdr:ext cx="4867275" cy="2800350"/>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1400175</xdr:colOff>
      <xdr:row>99</xdr:row>
      <xdr:rowOff>66675</xdr:rowOff>
    </xdr:from>
    <xdr:ext cx="4876800" cy="282892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1409700</xdr:colOff>
      <xdr:row>114</xdr:row>
      <xdr:rowOff>133350</xdr:rowOff>
    </xdr:from>
    <xdr:ext cx="4867275" cy="280035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1400175</xdr:colOff>
      <xdr:row>130</xdr:row>
      <xdr:rowOff>9525</xdr:rowOff>
    </xdr:from>
    <xdr:ext cx="4876800" cy="280035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abs/2503.13160" TargetMode="External"/><Relationship Id="rId2" Type="http://schemas.openxmlformats.org/officeDocument/2006/relationships/hyperlink" Target="https://arxiv.org/pdf/2505.13123" TargetMode="External"/><Relationship Id="rId3" Type="http://schemas.openxmlformats.org/officeDocument/2006/relationships/hyperlink" Target="https://arxiv.org/pdf/2511.13204" TargetMode="External"/><Relationship Id="rId4" Type="http://schemas.openxmlformats.org/officeDocument/2006/relationships/hyperlink" Target="https://arxiv.org/pdf/2507.09338"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8.13"/>
    <col customWidth="1" min="2" max="3" width="12.63"/>
    <col customWidth="1" min="4" max="4" width="25.63"/>
    <col customWidth="1" min="5" max="5" width="62.88"/>
    <col customWidth="1" min="6" max="6" width="12.63"/>
  </cols>
  <sheetData>
    <row r="1" ht="15.75" customHeight="1">
      <c r="A1" s="1" t="s">
        <v>0</v>
      </c>
      <c r="B1" s="1" t="s">
        <v>1</v>
      </c>
      <c r="C1" s="1" t="s">
        <v>2</v>
      </c>
      <c r="D1" s="1" t="s">
        <v>3</v>
      </c>
      <c r="E1" s="1" t="s">
        <v>4</v>
      </c>
      <c r="F1" s="2"/>
    </row>
    <row r="2" ht="48.75" customHeight="1">
      <c r="A2" s="1" t="s">
        <v>5</v>
      </c>
      <c r="B2" s="3" t="s">
        <v>6</v>
      </c>
      <c r="C2" s="1" t="s">
        <v>7</v>
      </c>
      <c r="D2" s="4" t="s">
        <v>8</v>
      </c>
      <c r="E2" s="1" t="s">
        <v>9</v>
      </c>
      <c r="F2" s="2"/>
    </row>
    <row r="3" ht="51.75" customHeight="1">
      <c r="A3" s="1" t="s">
        <v>10</v>
      </c>
      <c r="B3" s="1" t="s">
        <v>11</v>
      </c>
      <c r="C3" s="1" t="s">
        <v>7</v>
      </c>
      <c r="D3" s="4" t="s">
        <v>12</v>
      </c>
      <c r="E3" s="1" t="s">
        <v>13</v>
      </c>
      <c r="F3" s="2"/>
    </row>
    <row r="4" ht="50.25" customHeight="1">
      <c r="A4" s="1" t="s">
        <v>14</v>
      </c>
      <c r="B4" s="1" t="s">
        <v>15</v>
      </c>
      <c r="C4" s="1" t="s">
        <v>7</v>
      </c>
      <c r="D4" s="4" t="s">
        <v>16</v>
      </c>
      <c r="E4" s="1" t="s">
        <v>17</v>
      </c>
      <c r="F4" s="2"/>
    </row>
    <row r="5" ht="45.75" customHeight="1">
      <c r="A5" s="1" t="s">
        <v>18</v>
      </c>
      <c r="B5" s="1" t="s">
        <v>19</v>
      </c>
      <c r="C5" s="1" t="s">
        <v>20</v>
      </c>
      <c r="D5" s="4" t="s">
        <v>21</v>
      </c>
      <c r="E5" s="1" t="s">
        <v>22</v>
      </c>
      <c r="F5" s="2"/>
    </row>
    <row r="6" ht="15.75" customHeight="1">
      <c r="A6" s="2"/>
      <c r="B6" s="2"/>
      <c r="C6" s="2"/>
      <c r="D6" s="2"/>
      <c r="E6" s="2"/>
      <c r="F6" s="2"/>
    </row>
    <row r="7" ht="15.75" customHeight="1">
      <c r="A7" s="2"/>
      <c r="B7" s="2"/>
      <c r="C7" s="2"/>
      <c r="D7" s="2"/>
      <c r="E7" s="2"/>
      <c r="F7" s="2"/>
    </row>
    <row r="8" ht="15.75" customHeight="1">
      <c r="A8" s="2"/>
      <c r="B8" s="2"/>
      <c r="C8" s="2"/>
      <c r="D8" s="2"/>
      <c r="E8" s="2"/>
      <c r="F8" s="2"/>
    </row>
    <row r="9" ht="15.75" customHeight="1">
      <c r="A9" s="2"/>
      <c r="B9" s="2"/>
      <c r="C9" s="2"/>
      <c r="D9" s="2"/>
      <c r="E9" s="2"/>
      <c r="F9" s="2"/>
    </row>
    <row r="10" ht="15.75" customHeight="1">
      <c r="A10" s="2"/>
      <c r="B10" s="2"/>
      <c r="C10" s="2"/>
      <c r="D10" s="2"/>
      <c r="E10" s="2"/>
      <c r="F10" s="2"/>
    </row>
    <row r="11" ht="15.75" customHeight="1">
      <c r="A11" s="2"/>
      <c r="B11" s="2"/>
      <c r="C11" s="2"/>
      <c r="D11" s="2"/>
      <c r="E11" s="2"/>
      <c r="F11" s="2"/>
    </row>
    <row r="12" ht="15.75" customHeight="1">
      <c r="A12" s="2"/>
      <c r="B12" s="2"/>
      <c r="C12" s="2"/>
      <c r="D12" s="2"/>
      <c r="E12" s="2"/>
      <c r="F12" s="2"/>
    </row>
    <row r="13" ht="15.75" customHeight="1">
      <c r="A13" s="5" t="s">
        <v>23</v>
      </c>
      <c r="B13" s="2"/>
      <c r="C13" s="2"/>
      <c r="D13" s="2"/>
      <c r="E13" s="2"/>
      <c r="F13" s="2"/>
    </row>
    <row r="14" ht="29.25" customHeight="1">
      <c r="A14" s="1" t="s">
        <v>24</v>
      </c>
      <c r="B14" s="2"/>
      <c r="C14" s="2"/>
      <c r="D14" s="2"/>
      <c r="E14" s="2"/>
      <c r="F14" s="2"/>
    </row>
    <row r="15" ht="61.5" customHeight="1">
      <c r="A15" s="1" t="s">
        <v>25</v>
      </c>
      <c r="B15" s="2"/>
      <c r="C15" s="2"/>
      <c r="D15" s="2"/>
      <c r="E15" s="2"/>
      <c r="F15" s="2"/>
    </row>
    <row r="16" ht="49.5" customHeight="1">
      <c r="A16" s="1" t="s">
        <v>26</v>
      </c>
      <c r="B16" s="2"/>
      <c r="C16" s="2"/>
      <c r="D16" s="2"/>
      <c r="E16" s="2"/>
      <c r="F16" s="2"/>
    </row>
    <row r="17" ht="15.75" customHeight="1">
      <c r="A17" s="2"/>
      <c r="B17" s="2"/>
      <c r="C17" s="2"/>
      <c r="D17" s="2"/>
      <c r="E17" s="2"/>
      <c r="F17" s="2"/>
    </row>
    <row r="18" ht="15.75" customHeight="1">
      <c r="A18" s="5" t="s">
        <v>27</v>
      </c>
      <c r="B18" s="2"/>
      <c r="C18" s="2"/>
      <c r="D18" s="2"/>
      <c r="E18" s="2"/>
      <c r="F18" s="2"/>
    </row>
    <row r="19" ht="15.75" customHeight="1">
      <c r="A19" s="1" t="s">
        <v>28</v>
      </c>
      <c r="B19" s="2"/>
      <c r="C19" s="2"/>
      <c r="D19" s="2"/>
      <c r="E19" s="2"/>
      <c r="F19" s="2"/>
    </row>
    <row r="20" ht="45.0" customHeight="1">
      <c r="A20" s="1" t="s">
        <v>29</v>
      </c>
      <c r="B20" s="2"/>
      <c r="C20" s="2"/>
      <c r="D20" s="2"/>
      <c r="E20" s="2"/>
      <c r="F20" s="2"/>
    </row>
    <row r="21" ht="49.5" customHeight="1">
      <c r="A21" s="1" t="s">
        <v>30</v>
      </c>
      <c r="B21" s="2"/>
      <c r="C21" s="2"/>
      <c r="D21" s="2"/>
      <c r="E21" s="2"/>
      <c r="F21" s="2"/>
    </row>
    <row r="22" ht="51.75" customHeight="1">
      <c r="A22" s="1" t="s">
        <v>31</v>
      </c>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hyperlinks>
    <hyperlink r:id="rId1" ref="D2"/>
    <hyperlink r:id="rId2" ref="D3"/>
    <hyperlink r:id="rId3" ref="D4"/>
    <hyperlink r:id="rId4" ref="D5"/>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0.13"/>
    <col customWidth="1" min="2" max="2" width="19.0"/>
    <col customWidth="1" min="3" max="3" width="19.63"/>
    <col customWidth="1" min="4" max="4" width="18.75"/>
    <col customWidth="1" min="5" max="5" width="23.25"/>
    <col customWidth="1" min="6" max="6" width="42.25"/>
    <col customWidth="1" min="7" max="8" width="16.5"/>
    <col customWidth="1" min="9" max="9" width="46.0"/>
  </cols>
  <sheetData>
    <row r="1" ht="25.5" customHeight="1">
      <c r="A1" s="6" t="s">
        <v>32</v>
      </c>
    </row>
    <row r="2" ht="15.75" customHeight="1">
      <c r="A2" s="2"/>
      <c r="B2" s="2"/>
      <c r="C2" s="2"/>
      <c r="D2" s="2"/>
      <c r="E2" s="2"/>
      <c r="F2" s="2"/>
      <c r="G2" s="2"/>
      <c r="H2" s="2"/>
      <c r="I2" s="2"/>
    </row>
    <row r="3" ht="21.75" customHeight="1">
      <c r="A3" s="7" t="s">
        <v>33</v>
      </c>
    </row>
    <row r="4" ht="15.75" customHeight="1">
      <c r="A4" s="8"/>
    </row>
    <row r="5" ht="30.0" customHeight="1">
      <c r="A5" s="9" t="s">
        <v>34</v>
      </c>
      <c r="B5" s="9" t="s">
        <v>35</v>
      </c>
      <c r="C5" s="9" t="s">
        <v>36</v>
      </c>
      <c r="D5" s="10" t="s">
        <v>37</v>
      </c>
      <c r="E5" s="11"/>
      <c r="F5" s="10" t="s">
        <v>38</v>
      </c>
      <c r="G5" s="12"/>
      <c r="H5" s="11"/>
      <c r="I5" s="9" t="s">
        <v>39</v>
      </c>
    </row>
    <row r="6" ht="42.0" customHeight="1">
      <c r="A6" s="13" t="s">
        <v>40</v>
      </c>
      <c r="B6" s="14" t="s">
        <v>41</v>
      </c>
      <c r="C6" s="14" t="s">
        <v>42</v>
      </c>
      <c r="D6" s="15" t="s">
        <v>43</v>
      </c>
      <c r="E6" s="11"/>
      <c r="F6" s="15" t="s">
        <v>44</v>
      </c>
      <c r="G6" s="12"/>
      <c r="H6" s="11"/>
      <c r="I6" s="16" t="s">
        <v>45</v>
      </c>
    </row>
    <row r="7" ht="75.75" customHeight="1">
      <c r="A7" s="17" t="s">
        <v>46</v>
      </c>
      <c r="B7" s="18" t="s">
        <v>47</v>
      </c>
      <c r="C7" s="18" t="s">
        <v>42</v>
      </c>
      <c r="D7" s="19" t="s">
        <v>48</v>
      </c>
      <c r="E7" s="11"/>
      <c r="F7" s="20" t="s">
        <v>49</v>
      </c>
      <c r="G7" s="12"/>
      <c r="H7" s="11"/>
      <c r="I7" s="21" t="s">
        <v>50</v>
      </c>
    </row>
    <row r="8" ht="42.0" customHeight="1">
      <c r="A8" s="17" t="s">
        <v>51</v>
      </c>
      <c r="B8" s="18" t="s">
        <v>52</v>
      </c>
      <c r="C8" s="18" t="s">
        <v>42</v>
      </c>
      <c r="D8" s="19" t="s">
        <v>53</v>
      </c>
      <c r="E8" s="11"/>
      <c r="F8" s="19" t="s">
        <v>54</v>
      </c>
      <c r="G8" s="12"/>
      <c r="H8" s="11"/>
      <c r="I8" s="21" t="s">
        <v>50</v>
      </c>
    </row>
    <row r="9" ht="68.25" customHeight="1">
      <c r="A9" s="13" t="s">
        <v>55</v>
      </c>
      <c r="B9" s="14" t="s">
        <v>56</v>
      </c>
      <c r="C9" s="14" t="s">
        <v>57</v>
      </c>
      <c r="D9" s="22" t="s">
        <v>58</v>
      </c>
      <c r="E9" s="11"/>
      <c r="F9" s="22" t="s">
        <v>59</v>
      </c>
      <c r="G9" s="12"/>
      <c r="H9" s="11"/>
      <c r="I9" s="16" t="s">
        <v>45</v>
      </c>
    </row>
    <row r="10" ht="42.0" customHeight="1">
      <c r="A10" s="13" t="s">
        <v>60</v>
      </c>
      <c r="B10" s="23" t="s">
        <v>61</v>
      </c>
      <c r="C10" s="14" t="s">
        <v>62</v>
      </c>
      <c r="D10" s="22" t="s">
        <v>63</v>
      </c>
      <c r="E10" s="11"/>
      <c r="F10" s="22" t="s">
        <v>64</v>
      </c>
      <c r="G10" s="12"/>
      <c r="H10" s="11"/>
      <c r="I10" s="21" t="s">
        <v>65</v>
      </c>
    </row>
    <row r="11" ht="15.75" customHeight="1">
      <c r="A11" s="2"/>
      <c r="B11" s="2"/>
      <c r="C11" s="2"/>
      <c r="D11" s="2"/>
      <c r="E11" s="2"/>
      <c r="F11" s="2"/>
      <c r="G11" s="2"/>
      <c r="H11" s="2"/>
      <c r="I11" s="2"/>
    </row>
    <row r="12" ht="21.75" customHeight="1">
      <c r="A12" s="7" t="s">
        <v>66</v>
      </c>
    </row>
    <row r="13" ht="15.75" customHeight="1">
      <c r="A13" s="8"/>
    </row>
    <row r="14" ht="30.0" customHeight="1">
      <c r="A14" s="9" t="s">
        <v>67</v>
      </c>
      <c r="B14" s="9" t="s">
        <v>40</v>
      </c>
      <c r="C14" s="9" t="s">
        <v>46</v>
      </c>
      <c r="D14" s="24" t="s">
        <v>68</v>
      </c>
      <c r="E14" s="24" t="s">
        <v>69</v>
      </c>
      <c r="F14" s="25" t="s">
        <v>70</v>
      </c>
      <c r="G14" s="9"/>
      <c r="H14" s="9"/>
    </row>
    <row r="15" ht="42.0" customHeight="1">
      <c r="A15" s="26" t="s">
        <v>71</v>
      </c>
      <c r="B15" s="27">
        <v>0.0</v>
      </c>
      <c r="C15" s="27">
        <v>410.0</v>
      </c>
      <c r="D15" s="27">
        <v>1530.0</v>
      </c>
      <c r="E15" s="27">
        <v>4401.0</v>
      </c>
      <c r="F15" s="28" t="s">
        <v>72</v>
      </c>
      <c r="G15" s="27"/>
      <c r="H15" s="27"/>
    </row>
    <row r="16" ht="15.75" customHeight="1">
      <c r="A16" s="26" t="s">
        <v>73</v>
      </c>
      <c r="B16" s="27">
        <v>0.0</v>
      </c>
      <c r="C16" s="27">
        <v>200.0</v>
      </c>
      <c r="D16" s="27">
        <v>780.0</v>
      </c>
      <c r="E16" s="27">
        <v>3242.0</v>
      </c>
      <c r="F16" s="28"/>
      <c r="G16" s="27"/>
      <c r="H16" s="27"/>
    </row>
    <row r="17" ht="55.5" customHeight="1">
      <c r="A17" s="26" t="s">
        <v>74</v>
      </c>
      <c r="B17" s="27">
        <v>0.0</v>
      </c>
      <c r="C17" s="27">
        <v>210.0</v>
      </c>
      <c r="D17" s="27">
        <v>750.0</v>
      </c>
      <c r="E17" s="27">
        <v>1159.0</v>
      </c>
      <c r="F17" s="29" t="s">
        <v>75</v>
      </c>
      <c r="G17" s="27"/>
      <c r="H17" s="27"/>
    </row>
    <row r="18" ht="15.75" customHeight="1">
      <c r="A18" s="26" t="s">
        <v>76</v>
      </c>
      <c r="B18" s="27">
        <v>1397.0</v>
      </c>
      <c r="C18" s="27">
        <v>100.0</v>
      </c>
      <c r="D18" s="27">
        <v>383.0</v>
      </c>
      <c r="E18" s="27">
        <v>1106.0</v>
      </c>
      <c r="F18" s="28"/>
      <c r="G18" s="27"/>
      <c r="H18" s="27"/>
    </row>
    <row r="19" ht="15.75" customHeight="1">
      <c r="A19" s="26" t="s">
        <v>73</v>
      </c>
      <c r="B19" s="27">
        <v>1394.0</v>
      </c>
      <c r="C19" s="27">
        <v>60.0</v>
      </c>
      <c r="D19" s="27">
        <v>191.0</v>
      </c>
      <c r="E19" s="27">
        <v>805.0</v>
      </c>
      <c r="F19" s="28"/>
      <c r="G19" s="27"/>
      <c r="H19" s="27"/>
    </row>
    <row r="20" ht="15.75" customHeight="1">
      <c r="A20" s="26" t="s">
        <v>74</v>
      </c>
      <c r="B20" s="27">
        <v>3.0</v>
      </c>
      <c r="C20" s="27">
        <v>40.0</v>
      </c>
      <c r="D20" s="27">
        <v>192.0</v>
      </c>
      <c r="E20" s="27">
        <v>301.0</v>
      </c>
      <c r="F20" s="28"/>
      <c r="G20" s="27"/>
      <c r="H20" s="27"/>
    </row>
    <row r="21" ht="15.75" customHeight="1">
      <c r="A21" s="26" t="s">
        <v>77</v>
      </c>
      <c r="B21" s="27">
        <v>18369.0</v>
      </c>
      <c r="C21" s="27">
        <v>11045.0</v>
      </c>
      <c r="D21" s="27">
        <v>5244.0</v>
      </c>
      <c r="E21" s="27">
        <v>22120.0</v>
      </c>
      <c r="F21" s="28"/>
      <c r="G21" s="27"/>
      <c r="H21" s="27"/>
    </row>
    <row r="22" ht="15.75" customHeight="1">
      <c r="A22" s="26" t="s">
        <v>78</v>
      </c>
      <c r="B22" s="27">
        <v>6086.0</v>
      </c>
      <c r="C22" s="27">
        <v>800.0</v>
      </c>
      <c r="D22" s="27">
        <v>476.0</v>
      </c>
      <c r="E22" s="27">
        <v>7340.0</v>
      </c>
      <c r="F22" s="28"/>
      <c r="G22" s="27"/>
      <c r="H22" s="27"/>
    </row>
    <row r="23" ht="15.75" customHeight="1">
      <c r="A23" s="30" t="s">
        <v>79</v>
      </c>
      <c r="B23" s="31">
        <v>0.3313190701725733</v>
      </c>
      <c r="C23" s="31">
        <v>0.0724309642372114</v>
      </c>
      <c r="D23" s="31">
        <v>0.09077040427154844</v>
      </c>
      <c r="E23" s="31">
        <v>0.3318264014466546</v>
      </c>
      <c r="F23" s="28"/>
      <c r="G23" s="31"/>
      <c r="H23" s="31"/>
    </row>
    <row r="24" ht="51.0" customHeight="1">
      <c r="A24" s="26" t="s">
        <v>80</v>
      </c>
      <c r="B24" s="32">
        <v>13.0</v>
      </c>
      <c r="C24" s="32">
        <v>43.0</v>
      </c>
      <c r="D24" s="32">
        <v>9.0</v>
      </c>
      <c r="E24" s="32">
        <v>20.0</v>
      </c>
      <c r="F24" s="29" t="s">
        <v>81</v>
      </c>
      <c r="G24" s="32"/>
      <c r="H24" s="32"/>
    </row>
    <row r="25" ht="15.75" customHeight="1">
      <c r="A25" s="26" t="s">
        <v>82</v>
      </c>
      <c r="B25" s="32">
        <v>99.0</v>
      </c>
      <c r="C25" s="32">
        <v>328.5</v>
      </c>
      <c r="D25" s="32">
        <v>68.0</v>
      </c>
      <c r="E25" s="32">
        <v>374.0</v>
      </c>
      <c r="F25" s="28"/>
      <c r="G25" s="32"/>
      <c r="H25" s="32"/>
    </row>
    <row r="26" ht="15.75" customHeight="1">
      <c r="A26" s="26" t="s">
        <v>83</v>
      </c>
      <c r="B26" s="33">
        <v>9.0</v>
      </c>
      <c r="C26" s="33">
        <v>9.0</v>
      </c>
      <c r="D26" s="33">
        <v>9.0</v>
      </c>
      <c r="E26" s="33">
        <v>3.0</v>
      </c>
      <c r="F26" s="29" t="s">
        <v>84</v>
      </c>
      <c r="G26" s="33"/>
      <c r="H26" s="33"/>
    </row>
    <row r="27" ht="55.5" customHeight="1">
      <c r="A27" s="26" t="s">
        <v>85</v>
      </c>
      <c r="B27" s="27">
        <v>0.0</v>
      </c>
      <c r="C27" s="27">
        <v>7.0</v>
      </c>
      <c r="D27" s="27">
        <v>25.0</v>
      </c>
      <c r="E27" s="27">
        <v>102.0</v>
      </c>
      <c r="F27" s="28"/>
      <c r="G27" s="27"/>
      <c r="H27" s="27"/>
    </row>
    <row r="28" ht="15.75" customHeight="1">
      <c r="A28" s="2"/>
      <c r="B28" s="2"/>
      <c r="C28" s="2"/>
      <c r="D28" s="2"/>
      <c r="E28" s="2"/>
      <c r="F28" s="2"/>
      <c r="G28" s="2"/>
      <c r="H28" s="2"/>
      <c r="I28" s="2"/>
    </row>
    <row r="29" ht="21.75" customHeight="1">
      <c r="A29" s="34" t="s">
        <v>86</v>
      </c>
    </row>
    <row r="30" ht="15.75" customHeight="1">
      <c r="A30" s="8"/>
    </row>
    <row r="31" ht="30.0" customHeight="1">
      <c r="A31" s="9" t="s">
        <v>67</v>
      </c>
      <c r="B31" s="9" t="s">
        <v>40</v>
      </c>
      <c r="C31" s="9" t="s">
        <v>46</v>
      </c>
      <c r="D31" s="24" t="s">
        <v>68</v>
      </c>
      <c r="E31" s="9" t="s">
        <v>87</v>
      </c>
      <c r="F31" s="24" t="s">
        <v>70</v>
      </c>
      <c r="G31" s="9"/>
      <c r="H31" s="9"/>
      <c r="I31" s="9"/>
    </row>
    <row r="32" ht="27.75" customHeight="1">
      <c r="A32" s="26" t="s">
        <v>88</v>
      </c>
      <c r="B32" s="31">
        <v>0.6923076923076923</v>
      </c>
      <c r="C32" s="31">
        <v>0.2094155844155844</v>
      </c>
      <c r="D32" s="31">
        <v>1.0</v>
      </c>
      <c r="E32" s="31">
        <v>0.15</v>
      </c>
      <c r="F32" s="29" t="s">
        <v>89</v>
      </c>
      <c r="G32" s="31"/>
      <c r="H32" s="31"/>
      <c r="I32" s="35"/>
    </row>
    <row r="33" ht="28.5" customHeight="1">
      <c r="A33" s="26" t="s">
        <v>90</v>
      </c>
      <c r="B33" s="31">
        <v>0.1195418754473873</v>
      </c>
      <c r="C33" s="31">
        <v>0.06</v>
      </c>
      <c r="D33" s="31">
        <v>0.5535248041775457</v>
      </c>
      <c r="E33" s="31">
        <v>0.0</v>
      </c>
      <c r="F33" s="28"/>
      <c r="G33" s="31"/>
      <c r="H33" s="31"/>
      <c r="I33" s="35"/>
    </row>
    <row r="34" ht="39.0" customHeight="1">
      <c r="A34" s="26" t="s">
        <v>91</v>
      </c>
      <c r="B34" s="31">
        <v>0.9985683607730852</v>
      </c>
      <c r="C34" s="31">
        <v>0.35</v>
      </c>
      <c r="D34" s="31">
        <v>0.9033942558746736</v>
      </c>
      <c r="E34" s="31">
        <v>1.0</v>
      </c>
      <c r="F34" s="29" t="s">
        <v>92</v>
      </c>
      <c r="G34" s="31"/>
      <c r="H34" s="31"/>
      <c r="I34" s="35"/>
    </row>
    <row r="35" ht="45.75" customHeight="1">
      <c r="A35" s="26" t="s">
        <v>93</v>
      </c>
      <c r="B35" s="33">
        <v>3.0</v>
      </c>
      <c r="C35" s="33">
        <v>0.0</v>
      </c>
      <c r="D35" s="33">
        <v>4.0</v>
      </c>
      <c r="E35" s="33">
        <v>2.0</v>
      </c>
      <c r="F35" s="29" t="s">
        <v>94</v>
      </c>
      <c r="G35" s="33"/>
      <c r="H35" s="33"/>
      <c r="I35" s="35"/>
    </row>
    <row r="36" ht="34.5" customHeight="1">
      <c r="A36" s="30" t="s">
        <v>95</v>
      </c>
      <c r="B36" s="27">
        <v>1392.0</v>
      </c>
      <c r="C36" s="27">
        <v>60.0</v>
      </c>
      <c r="D36" s="27">
        <v>190.0</v>
      </c>
      <c r="E36" s="27">
        <v>798.0</v>
      </c>
      <c r="F36" s="28" t="s">
        <v>96</v>
      </c>
      <c r="G36" s="27"/>
      <c r="H36" s="27"/>
      <c r="I36" s="35"/>
    </row>
    <row r="37" ht="38.25" customHeight="1">
      <c r="A37" s="26" t="s">
        <v>97</v>
      </c>
      <c r="B37" s="31">
        <v>0.002286460885187</v>
      </c>
      <c r="C37" s="31">
        <v>0.7840651878678135</v>
      </c>
      <c r="D37" s="31">
        <v>0.7429443173150267</v>
      </c>
      <c r="E37" s="31">
        <v>0.2721518987341772</v>
      </c>
      <c r="F37" s="28" t="s">
        <v>98</v>
      </c>
      <c r="G37" s="31"/>
      <c r="H37" s="31"/>
      <c r="I37" s="35"/>
    </row>
    <row r="38" ht="28.5" customHeight="1">
      <c r="A38" s="36" t="s">
        <v>99</v>
      </c>
      <c r="B38" s="37">
        <v>0.5017096800455915</v>
      </c>
      <c r="C38" s="38">
        <v>0.9226451927769644</v>
      </c>
      <c r="D38" s="38">
        <v>0.9085570469798658</v>
      </c>
      <c r="E38" s="37">
        <v>0.7036535859269283</v>
      </c>
      <c r="F38" s="28"/>
      <c r="G38" s="39"/>
      <c r="H38" s="37"/>
      <c r="I38" s="35"/>
    </row>
    <row r="39" ht="24.75" customHeight="1">
      <c r="A39" s="36" t="s">
        <v>100</v>
      </c>
      <c r="B39" s="37">
        <v>0.499343696950403</v>
      </c>
      <c r="C39" s="38">
        <v>0.8967914836505612</v>
      </c>
      <c r="D39" s="38">
        <v>0.8654149159663865</v>
      </c>
      <c r="E39" s="37">
        <v>0.5</v>
      </c>
      <c r="F39" s="29" t="s">
        <v>101</v>
      </c>
      <c r="G39" s="37"/>
      <c r="H39" s="37"/>
      <c r="I39" s="35"/>
    </row>
    <row r="40" ht="15.75" customHeight="1">
      <c r="A40" s="26" t="s">
        <v>102</v>
      </c>
      <c r="B40" s="40">
        <v>0.527977044476327</v>
      </c>
      <c r="C40" s="40">
        <v>0.6939583333333333</v>
      </c>
      <c r="D40" s="40">
        <v>0.8104957460732984</v>
      </c>
      <c r="E40" s="40">
        <v>0.5</v>
      </c>
      <c r="F40" s="28"/>
      <c r="G40" s="40"/>
      <c r="H40" s="40"/>
      <c r="I40" s="35"/>
    </row>
    <row r="41" ht="51.75" customHeight="1">
      <c r="A41" s="26" t="s">
        <v>103</v>
      </c>
      <c r="B41" s="41" t="s">
        <v>104</v>
      </c>
      <c r="C41" s="41" t="s">
        <v>104</v>
      </c>
      <c r="D41" s="41" t="s">
        <v>104</v>
      </c>
      <c r="E41" s="41"/>
      <c r="F41" s="28"/>
      <c r="G41" s="41"/>
      <c r="H41" s="41"/>
      <c r="I41" s="35"/>
    </row>
    <row r="42" ht="44.25" customHeight="1">
      <c r="A42" s="26" t="s">
        <v>105</v>
      </c>
      <c r="B42" s="42">
        <v>0.9993339383194056</v>
      </c>
      <c r="C42" s="42">
        <v>0.9969152025378233</v>
      </c>
      <c r="D42" s="42">
        <v>0.9989954035305397</v>
      </c>
      <c r="E42" s="42">
        <v>0.9993999365812111</v>
      </c>
      <c r="F42" s="28" t="s">
        <v>106</v>
      </c>
      <c r="G42" s="42"/>
      <c r="H42" s="42"/>
      <c r="I42" s="35"/>
    </row>
    <row r="43" ht="42.0" customHeight="1">
      <c r="A43" s="26" t="s">
        <v>107</v>
      </c>
      <c r="B43" s="41" t="s">
        <v>108</v>
      </c>
      <c r="C43" s="41" t="s">
        <v>109</v>
      </c>
      <c r="D43" s="41" t="s">
        <v>109</v>
      </c>
      <c r="E43" s="41" t="s">
        <v>109</v>
      </c>
      <c r="F43" s="29" t="s">
        <v>110</v>
      </c>
      <c r="G43" s="41"/>
      <c r="H43" s="41"/>
      <c r="I43" s="35"/>
    </row>
    <row r="44" ht="15.75" customHeight="1">
      <c r="A44" s="2"/>
      <c r="B44" s="2"/>
      <c r="C44" s="2"/>
      <c r="D44" s="2"/>
      <c r="E44" s="2"/>
      <c r="F44" s="2"/>
      <c r="G44" s="2"/>
      <c r="H44" s="2"/>
      <c r="I44" s="2"/>
    </row>
    <row r="45" ht="21.75" customHeight="1">
      <c r="A45" s="34" t="s">
        <v>111</v>
      </c>
    </row>
    <row r="46" ht="15.75" customHeight="1">
      <c r="A46" s="8"/>
    </row>
    <row r="47" ht="30.0" customHeight="1">
      <c r="A47" s="9" t="s">
        <v>67</v>
      </c>
      <c r="B47" s="9" t="s">
        <v>40</v>
      </c>
      <c r="C47" s="9" t="s">
        <v>46</v>
      </c>
      <c r="D47" s="24" t="s">
        <v>68</v>
      </c>
      <c r="E47" s="24" t="s">
        <v>69</v>
      </c>
      <c r="F47" s="43" t="s">
        <v>112</v>
      </c>
      <c r="G47" s="9"/>
      <c r="H47" s="9" t="s">
        <v>87</v>
      </c>
      <c r="I47" s="9" t="s">
        <v>112</v>
      </c>
    </row>
    <row r="48" ht="30.75" customHeight="1">
      <c r="A48" s="36" t="s">
        <v>113</v>
      </c>
      <c r="B48" s="37">
        <v>0.6708338006696107</v>
      </c>
      <c r="C48" s="44" t="s">
        <v>114</v>
      </c>
      <c r="D48" s="38">
        <v>0.5227626072757653</v>
      </c>
      <c r="E48" s="45">
        <v>0.5983250716912536</v>
      </c>
      <c r="F48" s="29" t="s">
        <v>115</v>
      </c>
      <c r="G48" s="39"/>
      <c r="H48" s="45">
        <v>0.5983250716912536</v>
      </c>
      <c r="I48" s="35" t="s">
        <v>116</v>
      </c>
    </row>
    <row r="49" ht="30.75" customHeight="1">
      <c r="A49" s="26" t="s">
        <v>117</v>
      </c>
      <c r="B49" s="40">
        <v>0.624888404469584</v>
      </c>
      <c r="C49" s="41" t="s">
        <v>114</v>
      </c>
      <c r="D49" s="40">
        <v>0.5428768822965427</v>
      </c>
      <c r="E49" s="40">
        <v>0.5909862359105206</v>
      </c>
      <c r="F49" s="28"/>
      <c r="G49" s="40"/>
      <c r="H49" s="40">
        <v>0.5909862359105206</v>
      </c>
      <c r="I49" s="35"/>
    </row>
    <row r="50" ht="66.0" customHeight="1">
      <c r="A50" s="30" t="s">
        <v>118</v>
      </c>
      <c r="B50" s="40">
        <v>0.2175992348158776</v>
      </c>
      <c r="C50" s="41" t="s">
        <v>114</v>
      </c>
      <c r="D50" s="40">
        <v>0.6799465532286213</v>
      </c>
      <c r="E50" s="40">
        <v>0.5550979137863437</v>
      </c>
      <c r="F50" s="29" t="s">
        <v>119</v>
      </c>
      <c r="G50" s="40"/>
      <c r="H50" s="40">
        <v>0.5550979137863437</v>
      </c>
      <c r="I50" s="35" t="s">
        <v>120</v>
      </c>
    </row>
    <row r="51" ht="45.75" customHeight="1">
      <c r="A51" s="26" t="s">
        <v>121</v>
      </c>
      <c r="B51" s="46">
        <v>0.9654230054625076</v>
      </c>
      <c r="C51" s="41" t="s">
        <v>114</v>
      </c>
      <c r="D51" s="46">
        <v>0.9630527720974198</v>
      </c>
      <c r="E51" s="46">
        <v>0.9682180137165473</v>
      </c>
      <c r="F51" s="29" t="s">
        <v>122</v>
      </c>
      <c r="G51" s="46"/>
      <c r="H51" s="46">
        <v>0.9682180137165473</v>
      </c>
      <c r="I51" s="35" t="s">
        <v>123</v>
      </c>
    </row>
    <row r="52" ht="41.25" customHeight="1">
      <c r="A52" s="26" t="s">
        <v>124</v>
      </c>
      <c r="B52" s="47">
        <v>3.18735289749266</v>
      </c>
      <c r="C52" s="41" t="s">
        <v>114</v>
      </c>
      <c r="D52" s="47">
        <v>2.716919853680399</v>
      </c>
      <c r="E52" s="47">
        <v>2.773693409088293</v>
      </c>
      <c r="F52" s="29" t="s">
        <v>125</v>
      </c>
      <c r="G52" s="47"/>
      <c r="H52" s="47">
        <v>2.773693409088293</v>
      </c>
      <c r="I52" s="35" t="s">
        <v>126</v>
      </c>
    </row>
    <row r="53" ht="15.75" customHeight="1">
      <c r="A53" s="26" t="s">
        <v>127</v>
      </c>
      <c r="B53" s="33">
        <v>419.0</v>
      </c>
      <c r="C53" s="41" t="s">
        <v>114</v>
      </c>
      <c r="D53" s="33">
        <v>419.0</v>
      </c>
      <c r="E53" s="33">
        <v>420.0</v>
      </c>
      <c r="F53" s="28"/>
      <c r="G53" s="33"/>
      <c r="H53" s="33">
        <v>420.0</v>
      </c>
      <c r="I53" s="35" t="s">
        <v>128</v>
      </c>
    </row>
    <row r="54" ht="15.75" customHeight="1">
      <c r="A54" s="2"/>
      <c r="B54" s="2"/>
      <c r="C54" s="2"/>
      <c r="D54" s="2"/>
      <c r="E54" s="2"/>
      <c r="F54" s="2"/>
      <c r="G54" s="2"/>
      <c r="H54" s="2"/>
      <c r="I54" s="2"/>
    </row>
    <row r="55" ht="21.75" customHeight="1">
      <c r="A55" s="34" t="s">
        <v>129</v>
      </c>
    </row>
    <row r="56" ht="15.75" customHeight="1">
      <c r="A56" s="8"/>
    </row>
    <row r="57" ht="30.0" customHeight="1">
      <c r="A57" s="9" t="s">
        <v>130</v>
      </c>
      <c r="B57" s="9" t="s">
        <v>131</v>
      </c>
      <c r="C57" s="10" t="s">
        <v>132</v>
      </c>
      <c r="D57" s="12"/>
      <c r="E57" s="12"/>
      <c r="F57" s="11"/>
      <c r="G57" s="10" t="s">
        <v>133</v>
      </c>
      <c r="H57" s="12"/>
      <c r="I57" s="11"/>
    </row>
    <row r="58" ht="39.75" customHeight="1">
      <c r="A58" s="48" t="s">
        <v>40</v>
      </c>
      <c r="B58" s="49" t="s">
        <v>134</v>
      </c>
      <c r="C58" s="50" t="s">
        <v>135</v>
      </c>
      <c r="D58" s="12"/>
      <c r="E58" s="12"/>
      <c r="F58" s="11"/>
      <c r="G58" s="51" t="s">
        <v>136</v>
      </c>
      <c r="H58" s="12"/>
      <c r="I58" s="11"/>
    </row>
    <row r="59" ht="39.75" customHeight="1">
      <c r="A59" s="48" t="s">
        <v>40</v>
      </c>
      <c r="B59" s="49" t="s">
        <v>134</v>
      </c>
      <c r="C59" s="50" t="s">
        <v>137</v>
      </c>
      <c r="D59" s="12"/>
      <c r="E59" s="12"/>
      <c r="F59" s="11"/>
      <c r="G59" s="51" t="s">
        <v>138</v>
      </c>
      <c r="H59" s="12"/>
      <c r="I59" s="11"/>
    </row>
    <row r="60" ht="39.75" customHeight="1">
      <c r="A60" s="48" t="s">
        <v>40</v>
      </c>
      <c r="B60" s="52" t="s">
        <v>139</v>
      </c>
      <c r="C60" s="50" t="s">
        <v>140</v>
      </c>
      <c r="D60" s="12"/>
      <c r="E60" s="12"/>
      <c r="F60" s="11"/>
      <c r="G60" s="51" t="s">
        <v>141</v>
      </c>
      <c r="H60" s="12"/>
      <c r="I60" s="11"/>
    </row>
    <row r="61" ht="39.75" customHeight="1">
      <c r="A61" s="48" t="s">
        <v>46</v>
      </c>
      <c r="B61" s="53" t="s">
        <v>142</v>
      </c>
      <c r="C61" s="50" t="s">
        <v>143</v>
      </c>
      <c r="D61" s="12"/>
      <c r="E61" s="12"/>
      <c r="F61" s="11"/>
      <c r="G61" s="51" t="s">
        <v>144</v>
      </c>
      <c r="H61" s="12"/>
      <c r="I61" s="11"/>
    </row>
    <row r="62" ht="39.75" customHeight="1">
      <c r="A62" s="48" t="s">
        <v>46</v>
      </c>
      <c r="B62" s="53" t="s">
        <v>142</v>
      </c>
      <c r="C62" s="50" t="s">
        <v>145</v>
      </c>
      <c r="D62" s="12"/>
      <c r="E62" s="12"/>
      <c r="F62" s="11"/>
      <c r="G62" s="51" t="s">
        <v>146</v>
      </c>
      <c r="H62" s="12"/>
      <c r="I62" s="11"/>
    </row>
    <row r="63" ht="39.75" customHeight="1">
      <c r="A63" s="54" t="s">
        <v>68</v>
      </c>
      <c r="B63" s="53" t="s">
        <v>142</v>
      </c>
      <c r="C63" s="50" t="s">
        <v>147</v>
      </c>
      <c r="D63" s="12"/>
      <c r="E63" s="12"/>
      <c r="F63" s="11"/>
      <c r="G63" s="51" t="s">
        <v>148</v>
      </c>
      <c r="H63" s="12"/>
      <c r="I63" s="11"/>
    </row>
    <row r="64" ht="39.75" customHeight="1">
      <c r="A64" s="54" t="s">
        <v>68</v>
      </c>
      <c r="B64" s="49" t="s">
        <v>134</v>
      </c>
      <c r="C64" s="50" t="s">
        <v>149</v>
      </c>
      <c r="D64" s="12"/>
      <c r="E64" s="12"/>
      <c r="F64" s="11"/>
      <c r="G64" s="51" t="s">
        <v>136</v>
      </c>
      <c r="H64" s="12"/>
      <c r="I64" s="11"/>
    </row>
    <row r="65" ht="39.75" customHeight="1">
      <c r="A65" s="54" t="s">
        <v>68</v>
      </c>
      <c r="B65" s="49" t="s">
        <v>134</v>
      </c>
      <c r="C65" s="51" t="s">
        <v>150</v>
      </c>
      <c r="D65" s="12"/>
      <c r="E65" s="12"/>
      <c r="F65" s="11"/>
      <c r="G65" s="51" t="s">
        <v>138</v>
      </c>
      <c r="H65" s="12"/>
      <c r="I65" s="11"/>
    </row>
    <row r="66" ht="39.75" customHeight="1">
      <c r="A66" s="54" t="s">
        <v>68</v>
      </c>
      <c r="B66" s="53" t="s">
        <v>142</v>
      </c>
      <c r="C66" s="51" t="s">
        <v>151</v>
      </c>
      <c r="D66" s="12"/>
      <c r="E66" s="12"/>
      <c r="F66" s="11"/>
      <c r="G66" s="51" t="s">
        <v>144</v>
      </c>
      <c r="H66" s="12"/>
      <c r="I66" s="11"/>
    </row>
    <row r="67" ht="39.75" customHeight="1">
      <c r="A67" s="54" t="s">
        <v>68</v>
      </c>
      <c r="B67" s="53" t="s">
        <v>142</v>
      </c>
      <c r="C67" s="51" t="s">
        <v>152</v>
      </c>
      <c r="D67" s="12"/>
      <c r="E67" s="12"/>
      <c r="F67" s="11"/>
      <c r="G67" s="51" t="s">
        <v>146</v>
      </c>
      <c r="H67" s="12"/>
      <c r="I67" s="11"/>
    </row>
    <row r="68" ht="39.75" customHeight="1">
      <c r="A68" s="54" t="s">
        <v>68</v>
      </c>
      <c r="B68" s="53" t="s">
        <v>142</v>
      </c>
      <c r="C68" s="51" t="s">
        <v>153</v>
      </c>
      <c r="D68" s="12"/>
      <c r="E68" s="12"/>
      <c r="F68" s="11"/>
      <c r="G68" s="51" t="s">
        <v>154</v>
      </c>
      <c r="H68" s="12"/>
      <c r="I68" s="11"/>
    </row>
    <row r="69" ht="39.75" customHeight="1">
      <c r="A69" s="54" t="s">
        <v>69</v>
      </c>
      <c r="B69" s="49" t="s">
        <v>134</v>
      </c>
      <c r="C69" s="51" t="s">
        <v>155</v>
      </c>
      <c r="D69" s="12"/>
      <c r="E69" s="12"/>
      <c r="F69" s="11"/>
      <c r="G69" s="51" t="s">
        <v>136</v>
      </c>
      <c r="H69" s="12"/>
      <c r="I69" s="11"/>
    </row>
    <row r="70" ht="39.75" customHeight="1">
      <c r="A70" s="54" t="s">
        <v>69</v>
      </c>
      <c r="B70" s="49" t="s">
        <v>134</v>
      </c>
      <c r="C70" s="51" t="s">
        <v>156</v>
      </c>
      <c r="D70" s="12"/>
      <c r="E70" s="12"/>
      <c r="F70" s="11"/>
      <c r="G70" s="51" t="s">
        <v>157</v>
      </c>
      <c r="H70" s="12"/>
      <c r="I70" s="11"/>
    </row>
    <row r="71" ht="39.75" customHeight="1">
      <c r="A71" s="54" t="s">
        <v>69</v>
      </c>
      <c r="B71" s="53" t="s">
        <v>142</v>
      </c>
      <c r="C71" s="51" t="s">
        <v>158</v>
      </c>
      <c r="D71" s="12"/>
      <c r="E71" s="12"/>
      <c r="F71" s="11"/>
      <c r="G71" s="51" t="s">
        <v>154</v>
      </c>
      <c r="H71" s="12"/>
      <c r="I71" s="11"/>
    </row>
    <row r="72" ht="15.75" customHeight="1">
      <c r="A72" s="2"/>
      <c r="B72" s="2"/>
      <c r="C72" s="2"/>
      <c r="D72" s="2"/>
      <c r="E72" s="2"/>
      <c r="F72" s="2"/>
      <c r="G72" s="2"/>
      <c r="H72" s="2"/>
      <c r="I72" s="2"/>
    </row>
    <row r="73" ht="21.75" customHeight="1">
      <c r="A73" s="7" t="s">
        <v>159</v>
      </c>
    </row>
    <row r="74" ht="15.75" customHeight="1">
      <c r="A74" s="8"/>
    </row>
    <row r="75" ht="15.75" customHeight="1">
      <c r="A75" s="55" t="s">
        <v>160</v>
      </c>
      <c r="B75" s="12"/>
      <c r="C75" s="12"/>
      <c r="D75" s="12"/>
      <c r="E75" s="12"/>
      <c r="F75" s="12"/>
      <c r="G75" s="12"/>
      <c r="H75" s="12"/>
      <c r="I75" s="11"/>
    </row>
    <row r="76" ht="30.0" customHeight="1">
      <c r="A76" s="9" t="s">
        <v>161</v>
      </c>
      <c r="B76" s="9" t="s">
        <v>162</v>
      </c>
      <c r="C76" s="9" t="s">
        <v>163</v>
      </c>
      <c r="D76" s="9" t="s">
        <v>164</v>
      </c>
      <c r="E76" s="10" t="s">
        <v>165</v>
      </c>
      <c r="F76" s="12"/>
      <c r="G76" s="12"/>
      <c r="H76" s="11"/>
      <c r="I76" s="9" t="s">
        <v>39</v>
      </c>
    </row>
    <row r="77" ht="15.75" customHeight="1">
      <c r="A77" s="48" t="s">
        <v>166</v>
      </c>
      <c r="B77" s="56" t="s">
        <v>167</v>
      </c>
      <c r="C77" s="57">
        <v>0.5</v>
      </c>
      <c r="D77" s="58">
        <v>0.5</v>
      </c>
      <c r="E77" s="51" t="s">
        <v>168</v>
      </c>
      <c r="F77" s="12"/>
      <c r="G77" s="12"/>
      <c r="H77" s="11"/>
      <c r="I77" s="59"/>
    </row>
    <row r="78" ht="15.75" customHeight="1">
      <c r="A78" s="48" t="s">
        <v>169</v>
      </c>
      <c r="B78" s="56" t="s">
        <v>170</v>
      </c>
      <c r="C78" s="60">
        <v>0.7529</v>
      </c>
      <c r="D78" s="58">
        <v>0.7037</v>
      </c>
      <c r="E78" s="51" t="s">
        <v>171</v>
      </c>
      <c r="F78" s="12"/>
      <c r="G78" s="12"/>
      <c r="H78" s="11"/>
      <c r="I78" s="59"/>
    </row>
    <row r="79" ht="15.75" customHeight="1">
      <c r="A79" s="48" t="s">
        <v>172</v>
      </c>
      <c r="B79" s="56" t="s">
        <v>173</v>
      </c>
      <c r="C79" s="57">
        <v>0.983</v>
      </c>
      <c r="D79" s="57">
        <v>0.9568</v>
      </c>
      <c r="E79" s="51" t="s">
        <v>174</v>
      </c>
      <c r="F79" s="12"/>
      <c r="G79" s="12"/>
      <c r="H79" s="11"/>
      <c r="I79" s="59"/>
    </row>
    <row r="80" ht="15.75" customHeight="1">
      <c r="A80" s="48" t="s">
        <v>175</v>
      </c>
      <c r="B80" s="56" t="s">
        <v>176</v>
      </c>
      <c r="C80" s="57">
        <v>2.06</v>
      </c>
      <c r="D80" s="57">
        <v>2.8</v>
      </c>
      <c r="E80" s="51" t="s">
        <v>177</v>
      </c>
      <c r="F80" s="12"/>
      <c r="G80" s="12"/>
      <c r="H80" s="11"/>
      <c r="I80" s="59"/>
    </row>
    <row r="81" ht="15.75" customHeight="1">
      <c r="A81" s="48" t="s">
        <v>178</v>
      </c>
      <c r="B81" s="56" t="s">
        <v>179</v>
      </c>
      <c r="C81" s="57">
        <v>0.1875</v>
      </c>
      <c r="D81" s="58">
        <v>0.15</v>
      </c>
      <c r="E81" s="51" t="s">
        <v>180</v>
      </c>
      <c r="F81" s="12"/>
      <c r="G81" s="12"/>
      <c r="H81" s="11"/>
      <c r="I81" s="59"/>
    </row>
    <row r="82" ht="15.75" customHeight="1">
      <c r="A82" s="48" t="s">
        <v>181</v>
      </c>
      <c r="B82" s="56" t="s">
        <v>182</v>
      </c>
      <c r="C82" s="61">
        <v>787.0</v>
      </c>
      <c r="D82" s="62">
        <v>798.0</v>
      </c>
      <c r="E82" s="51" t="s">
        <v>183</v>
      </c>
      <c r="F82" s="12"/>
      <c r="G82" s="12"/>
      <c r="H82" s="11"/>
      <c r="I82" s="59"/>
    </row>
    <row r="83" ht="43.5" customHeight="1">
      <c r="A83" s="63"/>
      <c r="B83" s="12"/>
      <c r="C83" s="12"/>
      <c r="D83" s="12"/>
      <c r="E83" s="12"/>
      <c r="F83" s="12"/>
      <c r="G83" s="12"/>
      <c r="H83" s="12"/>
      <c r="I83" s="11"/>
    </row>
    <row r="84" ht="15.75" customHeight="1">
      <c r="A84" s="2"/>
      <c r="B84" s="2"/>
      <c r="C84" s="2"/>
      <c r="D84" s="2"/>
      <c r="E84" s="2"/>
      <c r="F84" s="2"/>
      <c r="G84" s="2"/>
      <c r="H84" s="2"/>
      <c r="I84" s="2"/>
    </row>
    <row r="85" ht="21.75" customHeight="1">
      <c r="A85" s="7" t="s">
        <v>184</v>
      </c>
    </row>
    <row r="86" ht="30.0" customHeight="1">
      <c r="A86" s="9" t="s">
        <v>185</v>
      </c>
      <c r="B86" s="10" t="s">
        <v>186</v>
      </c>
      <c r="C86" s="12"/>
      <c r="D86" s="11"/>
      <c r="E86" s="10" t="s">
        <v>187</v>
      </c>
      <c r="F86" s="12"/>
      <c r="G86" s="12"/>
      <c r="H86" s="12"/>
      <c r="I86" s="11"/>
    </row>
    <row r="87" ht="57.75" customHeight="1">
      <c r="A87" s="48" t="s">
        <v>188</v>
      </c>
      <c r="B87" s="64" t="s">
        <v>189</v>
      </c>
      <c r="C87" s="12"/>
      <c r="D87" s="11"/>
      <c r="E87" s="50" t="s">
        <v>190</v>
      </c>
      <c r="F87" s="12"/>
      <c r="G87" s="12"/>
      <c r="H87" s="12"/>
      <c r="I87" s="11"/>
    </row>
    <row r="88" ht="57.75" customHeight="1">
      <c r="A88" s="48" t="s">
        <v>191</v>
      </c>
      <c r="B88" s="64" t="s">
        <v>192</v>
      </c>
      <c r="C88" s="12"/>
      <c r="D88" s="11"/>
      <c r="E88" s="51" t="s">
        <v>193</v>
      </c>
      <c r="F88" s="12"/>
      <c r="G88" s="12"/>
      <c r="H88" s="12"/>
      <c r="I88" s="11"/>
    </row>
    <row r="89" ht="57.75" customHeight="1">
      <c r="A89" s="48" t="s">
        <v>194</v>
      </c>
      <c r="B89" s="64" t="s">
        <v>195</v>
      </c>
      <c r="C89" s="12"/>
      <c r="D89" s="11"/>
      <c r="E89" s="51" t="s">
        <v>196</v>
      </c>
      <c r="F89" s="12"/>
      <c r="G89" s="12"/>
      <c r="H89" s="12"/>
      <c r="I89" s="11"/>
    </row>
    <row r="90" ht="57.75" customHeight="1">
      <c r="A90" s="48" t="s">
        <v>197</v>
      </c>
      <c r="B90" s="64" t="s">
        <v>198</v>
      </c>
      <c r="C90" s="12"/>
      <c r="D90" s="11"/>
      <c r="E90" s="51" t="s">
        <v>199</v>
      </c>
      <c r="F90" s="12"/>
      <c r="G90" s="12"/>
      <c r="H90" s="12"/>
      <c r="I90" s="11"/>
    </row>
    <row r="91" ht="57.75" customHeight="1">
      <c r="A91" s="48" t="s">
        <v>200</v>
      </c>
      <c r="B91" s="64" t="s">
        <v>201</v>
      </c>
      <c r="C91" s="12"/>
      <c r="D91" s="11"/>
      <c r="E91" s="50" t="s">
        <v>202</v>
      </c>
      <c r="F91" s="12"/>
      <c r="G91" s="12"/>
      <c r="H91" s="12"/>
      <c r="I91" s="11"/>
    </row>
    <row r="92" ht="15.75" customHeight="1">
      <c r="A92" s="2"/>
      <c r="B92" s="2"/>
      <c r="C92" s="2"/>
      <c r="D92" s="2"/>
      <c r="E92" s="2"/>
      <c r="F92" s="2"/>
      <c r="G92" s="2"/>
      <c r="H92" s="2"/>
      <c r="I92" s="2"/>
    </row>
    <row r="93" ht="15.75" customHeight="1">
      <c r="A93" s="2"/>
      <c r="B93" s="2"/>
      <c r="C93" s="2"/>
      <c r="D93" s="2"/>
      <c r="E93" s="2"/>
      <c r="F93" s="2"/>
      <c r="G93" s="2"/>
      <c r="H93" s="2"/>
      <c r="I93" s="2"/>
    </row>
    <row r="94" ht="19.5" customHeight="1">
      <c r="A94" s="65"/>
      <c r="B94" s="12"/>
      <c r="C94" s="12"/>
      <c r="D94" s="12"/>
      <c r="E94" s="12"/>
      <c r="F94" s="12"/>
      <c r="G94" s="12"/>
      <c r="H94" s="12"/>
      <c r="I94" s="11"/>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30.75" customHeight="1">
      <c r="A99" s="66" t="s">
        <v>40</v>
      </c>
      <c r="B99" s="2"/>
      <c r="C99" s="2"/>
      <c r="D99" s="2"/>
      <c r="E99" s="66" t="s">
        <v>46</v>
      </c>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sheetData>
  <mergeCells count="78">
    <mergeCell ref="C66:F66"/>
    <mergeCell ref="C67:F67"/>
    <mergeCell ref="G67:I67"/>
    <mergeCell ref="C68:F68"/>
    <mergeCell ref="G68:I68"/>
    <mergeCell ref="C69:F69"/>
    <mergeCell ref="G69:I69"/>
    <mergeCell ref="C70:F70"/>
    <mergeCell ref="G70:I70"/>
    <mergeCell ref="C71:F71"/>
    <mergeCell ref="G71:I71"/>
    <mergeCell ref="A73:I73"/>
    <mergeCell ref="A74:I74"/>
    <mergeCell ref="A75:I75"/>
    <mergeCell ref="B88:D88"/>
    <mergeCell ref="B89:D89"/>
    <mergeCell ref="B90:D90"/>
    <mergeCell ref="B91:D91"/>
    <mergeCell ref="E89:I89"/>
    <mergeCell ref="E90:I90"/>
    <mergeCell ref="E91:I91"/>
    <mergeCell ref="A94:I94"/>
    <mergeCell ref="A83:I83"/>
    <mergeCell ref="A85:I85"/>
    <mergeCell ref="B86:D86"/>
    <mergeCell ref="E86:I86"/>
    <mergeCell ref="B87:D87"/>
    <mergeCell ref="E87:I87"/>
    <mergeCell ref="E88:I88"/>
    <mergeCell ref="A1:I1"/>
    <mergeCell ref="A3:I3"/>
    <mergeCell ref="A4:I4"/>
    <mergeCell ref="D5:E5"/>
    <mergeCell ref="F5:H5"/>
    <mergeCell ref="D6:E6"/>
    <mergeCell ref="F6:H6"/>
    <mergeCell ref="D7:E7"/>
    <mergeCell ref="F7:H7"/>
    <mergeCell ref="D8:E8"/>
    <mergeCell ref="F8:H8"/>
    <mergeCell ref="D9:E9"/>
    <mergeCell ref="F9:H9"/>
    <mergeCell ref="D10:E10"/>
    <mergeCell ref="F10:H10"/>
    <mergeCell ref="A12:I12"/>
    <mergeCell ref="A13:I13"/>
    <mergeCell ref="A29:I29"/>
    <mergeCell ref="A30:I30"/>
    <mergeCell ref="A45:I45"/>
    <mergeCell ref="A46:I46"/>
    <mergeCell ref="A55:I55"/>
    <mergeCell ref="A56:I56"/>
    <mergeCell ref="C57:F57"/>
    <mergeCell ref="G57:I57"/>
    <mergeCell ref="C58:F58"/>
    <mergeCell ref="G58:I58"/>
    <mergeCell ref="G59:I59"/>
    <mergeCell ref="C59:F59"/>
    <mergeCell ref="C60:F60"/>
    <mergeCell ref="G60:I60"/>
    <mergeCell ref="C61:F61"/>
    <mergeCell ref="G61:I61"/>
    <mergeCell ref="C62:F62"/>
    <mergeCell ref="G62:I62"/>
    <mergeCell ref="C63:F63"/>
    <mergeCell ref="G63:I63"/>
    <mergeCell ref="C64:F64"/>
    <mergeCell ref="G64:I64"/>
    <mergeCell ref="C65:F65"/>
    <mergeCell ref="G65:I65"/>
    <mergeCell ref="G66:I66"/>
    <mergeCell ref="E76:H76"/>
    <mergeCell ref="E77:H77"/>
    <mergeCell ref="E78:H78"/>
    <mergeCell ref="E79:H79"/>
    <mergeCell ref="E80:H80"/>
    <mergeCell ref="E81:H81"/>
    <mergeCell ref="E82:H8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4.0"/>
    <col customWidth="1" min="2" max="2" width="36.63"/>
    <col customWidth="1" min="3" max="3" width="21.63"/>
    <col customWidth="1" min="4" max="4" width="10.0"/>
    <col customWidth="1" min="5" max="5" width="11.0"/>
    <col customWidth="1" min="6" max="6" width="10.0"/>
    <col customWidth="1" min="7" max="7" width="11.0"/>
    <col customWidth="1" min="8" max="8" width="15.0"/>
    <col customWidth="1" min="9" max="9" width="69.63"/>
    <col customWidth="1" min="10" max="10" width="58.0"/>
    <col customWidth="1" min="11" max="26" width="8.63"/>
  </cols>
  <sheetData>
    <row r="1">
      <c r="A1" s="67" t="s">
        <v>203</v>
      </c>
      <c r="B1" s="2"/>
      <c r="C1" s="2"/>
      <c r="D1" s="2"/>
      <c r="E1" s="2"/>
      <c r="F1" s="2"/>
      <c r="G1" s="2"/>
      <c r="H1" s="2"/>
      <c r="I1" s="2"/>
      <c r="J1" s="2"/>
    </row>
    <row r="2">
      <c r="A2" s="68" t="s">
        <v>204</v>
      </c>
      <c r="B2" s="69"/>
      <c r="C2" s="69"/>
      <c r="D2" s="69"/>
      <c r="E2" s="69"/>
      <c r="F2" s="69"/>
      <c r="G2" s="69"/>
      <c r="H2" s="69"/>
      <c r="I2" s="69"/>
      <c r="J2" s="69"/>
    </row>
    <row r="3">
      <c r="A3" s="70" t="s">
        <v>205</v>
      </c>
      <c r="B3" s="71"/>
      <c r="C3" s="2"/>
      <c r="D3" s="2"/>
      <c r="E3" s="2"/>
      <c r="F3" s="2"/>
      <c r="G3" s="2"/>
      <c r="H3" s="2"/>
      <c r="I3" s="2"/>
      <c r="J3" s="2"/>
    </row>
    <row r="4">
      <c r="A4" s="72" t="s">
        <v>206</v>
      </c>
      <c r="B4" s="2"/>
      <c r="C4" s="2"/>
      <c r="D4" s="2"/>
      <c r="E4" s="2"/>
      <c r="F4" s="2"/>
      <c r="G4" s="2"/>
      <c r="H4" s="2"/>
      <c r="I4" s="2"/>
      <c r="J4" s="2"/>
    </row>
    <row r="5">
      <c r="A5" s="73" t="s">
        <v>35</v>
      </c>
      <c r="B5" s="73" t="s">
        <v>207</v>
      </c>
      <c r="C5" s="73" t="s">
        <v>208</v>
      </c>
      <c r="D5" s="73" t="s">
        <v>209</v>
      </c>
      <c r="E5" s="73" t="s">
        <v>210</v>
      </c>
      <c r="F5" s="73" t="s">
        <v>211</v>
      </c>
      <c r="G5" s="73" t="s">
        <v>212</v>
      </c>
      <c r="H5" s="73"/>
      <c r="I5" s="74" t="s">
        <v>70</v>
      </c>
    </row>
    <row r="6">
      <c r="A6" s="75" t="s">
        <v>40</v>
      </c>
      <c r="B6" s="76" t="s">
        <v>213</v>
      </c>
      <c r="C6" s="77">
        <v>0.5017</v>
      </c>
      <c r="D6" s="78">
        <v>0.4993</v>
      </c>
      <c r="E6" s="78">
        <v>0.6708</v>
      </c>
      <c r="F6" s="78">
        <v>0.3313</v>
      </c>
      <c r="G6" s="79">
        <v>1392.0</v>
      </c>
      <c r="H6" s="79"/>
      <c r="I6" s="76" t="s">
        <v>214</v>
      </c>
    </row>
    <row r="7">
      <c r="A7" s="80" t="s">
        <v>215</v>
      </c>
      <c r="B7" s="80" t="s">
        <v>216</v>
      </c>
      <c r="C7" s="81"/>
      <c r="D7" s="82"/>
      <c r="E7" s="82"/>
      <c r="F7" s="82"/>
      <c r="G7" s="82">
        <v>96.0</v>
      </c>
      <c r="H7" s="82"/>
      <c r="I7" s="81"/>
    </row>
    <row r="8">
      <c r="A8" s="81" t="s">
        <v>217</v>
      </c>
      <c r="B8" s="80" t="s">
        <v>218</v>
      </c>
      <c r="C8" s="81"/>
      <c r="D8" s="82"/>
      <c r="E8" s="82"/>
      <c r="F8" s="82"/>
      <c r="G8" s="82">
        <v>1078.0</v>
      </c>
      <c r="H8" s="82"/>
      <c r="I8" s="81"/>
    </row>
    <row r="9">
      <c r="A9" s="83" t="s">
        <v>46</v>
      </c>
      <c r="B9" s="84" t="s">
        <v>219</v>
      </c>
      <c r="C9" s="85">
        <v>0.9226</v>
      </c>
      <c r="D9" s="86">
        <v>0.8968</v>
      </c>
      <c r="E9" s="87"/>
      <c r="F9" s="86">
        <v>0.0724</v>
      </c>
      <c r="G9" s="87">
        <v>60.0</v>
      </c>
      <c r="H9" s="87"/>
      <c r="I9" s="84" t="s">
        <v>220</v>
      </c>
    </row>
    <row r="10">
      <c r="A10" s="84" t="s">
        <v>221</v>
      </c>
      <c r="B10" s="84" t="s">
        <v>222</v>
      </c>
      <c r="C10" s="85">
        <v>0.9086</v>
      </c>
      <c r="D10" s="86">
        <v>0.8654</v>
      </c>
      <c r="E10" s="86">
        <v>0.5228</v>
      </c>
      <c r="F10" s="86">
        <v>0.0908</v>
      </c>
      <c r="G10" s="87">
        <v>190.0</v>
      </c>
      <c r="H10" s="87"/>
      <c r="I10" s="84" t="s">
        <v>223</v>
      </c>
    </row>
    <row r="11">
      <c r="A11" s="75" t="s">
        <v>224</v>
      </c>
      <c r="B11" s="75" t="s">
        <v>225</v>
      </c>
      <c r="C11" s="77">
        <v>0.7037</v>
      </c>
      <c r="D11" s="78">
        <v>0.5</v>
      </c>
      <c r="E11" s="78">
        <v>0.5983</v>
      </c>
      <c r="F11" s="78">
        <v>0.3318</v>
      </c>
      <c r="G11" s="79">
        <v>798.0</v>
      </c>
      <c r="H11" s="79"/>
      <c r="I11" s="76" t="s">
        <v>226</v>
      </c>
    </row>
    <row r="12">
      <c r="A12" s="2"/>
      <c r="B12" s="2"/>
      <c r="C12" s="2"/>
      <c r="D12" s="2"/>
      <c r="E12" s="2"/>
      <c r="F12" s="2"/>
      <c r="G12" s="2"/>
      <c r="H12" s="2"/>
      <c r="I12" s="2"/>
      <c r="J12" s="2"/>
    </row>
    <row r="13" ht="15.75" customHeight="1">
      <c r="A13" s="68" t="s">
        <v>227</v>
      </c>
      <c r="B13" s="69"/>
      <c r="C13" s="69"/>
      <c r="D13" s="69"/>
      <c r="E13" s="69"/>
      <c r="F13" s="69"/>
      <c r="G13" s="69"/>
      <c r="H13" s="69"/>
      <c r="I13" s="69"/>
      <c r="J13" s="69"/>
    </row>
    <row r="14" ht="15.75" customHeight="1">
      <c r="A14" s="88"/>
    </row>
    <row r="15" ht="15.75" customHeight="1">
      <c r="A15" s="74" t="s">
        <v>228</v>
      </c>
      <c r="B15" s="73" t="s">
        <v>229</v>
      </c>
      <c r="C15" s="74" t="s">
        <v>230</v>
      </c>
      <c r="D15" s="73" t="s">
        <v>231</v>
      </c>
      <c r="E15" s="73" t="s">
        <v>232</v>
      </c>
      <c r="F15" s="73" t="s">
        <v>233</v>
      </c>
      <c r="G15" s="73" t="s">
        <v>234</v>
      </c>
      <c r="H15" s="73" t="s">
        <v>235</v>
      </c>
      <c r="I15" s="73" t="s">
        <v>186</v>
      </c>
    </row>
    <row r="16" ht="15.75" customHeight="1">
      <c r="A16" s="76" t="s">
        <v>215</v>
      </c>
      <c r="B16" s="75" t="s">
        <v>236</v>
      </c>
      <c r="C16" s="79" t="s">
        <v>114</v>
      </c>
      <c r="D16" s="78">
        <v>0.8948972556793215</v>
      </c>
      <c r="E16" s="78">
        <v>0.6432002681760793</v>
      </c>
      <c r="F16" s="78">
        <v>0.7177394210228485</v>
      </c>
      <c r="G16" s="78">
        <v>0.9041</v>
      </c>
      <c r="H16" s="78">
        <v>-0.009202744320678469</v>
      </c>
      <c r="I16" s="76" t="s">
        <v>237</v>
      </c>
    </row>
    <row r="17" ht="15.75" customHeight="1">
      <c r="A17" s="75" t="s">
        <v>238</v>
      </c>
      <c r="B17" s="75" t="s">
        <v>236</v>
      </c>
      <c r="C17" s="79" t="s">
        <v>114</v>
      </c>
      <c r="D17" s="78">
        <v>0.6012019195461271</v>
      </c>
      <c r="E17" s="78">
        <v>0.3776627752057543</v>
      </c>
      <c r="F17" s="78">
        <v>0.6157947811487557</v>
      </c>
      <c r="G17" s="78">
        <v>0.626</v>
      </c>
      <c r="H17" s="78">
        <v>-0.02479808045387288</v>
      </c>
      <c r="I17" s="76" t="s">
        <v>239</v>
      </c>
    </row>
    <row r="18" ht="26.25" customHeight="1">
      <c r="A18" s="75" t="s">
        <v>240</v>
      </c>
      <c r="B18" s="75" t="s">
        <v>236</v>
      </c>
      <c r="C18" s="79" t="s">
        <v>114</v>
      </c>
      <c r="D18" s="78">
        <v>0.9031384340414855</v>
      </c>
      <c r="E18" s="78">
        <v>0.6909640691149829</v>
      </c>
      <c r="F18" s="78">
        <v>0.6721292701337095</v>
      </c>
      <c r="G18" s="79"/>
      <c r="H18" s="79"/>
      <c r="I18" s="76" t="s">
        <v>241</v>
      </c>
    </row>
    <row r="19" ht="24.75" customHeight="1">
      <c r="A19" s="76" t="s">
        <v>242</v>
      </c>
      <c r="B19" s="76" t="s">
        <v>243</v>
      </c>
      <c r="C19" s="79" t="s">
        <v>244</v>
      </c>
      <c r="D19" s="78">
        <v>0.900676646708846</v>
      </c>
      <c r="E19" s="78">
        <v>0.69021349421803</v>
      </c>
      <c r="F19" s="78">
        <v>0.6709286192623877</v>
      </c>
      <c r="G19" s="79"/>
      <c r="H19" s="78">
        <v>-0.002461787332639576</v>
      </c>
      <c r="I19" s="76" t="s">
        <v>245</v>
      </c>
    </row>
    <row r="20" ht="15.75" customHeight="1">
      <c r="A20" s="89" t="s">
        <v>246</v>
      </c>
      <c r="B20" s="89" t="s">
        <v>236</v>
      </c>
      <c r="C20" s="90" t="s">
        <v>114</v>
      </c>
      <c r="D20" s="91">
        <v>0.7912276720351391</v>
      </c>
      <c r="E20" s="91">
        <v>0.2570523517306796</v>
      </c>
      <c r="F20" s="91">
        <v>0.7578264834388191</v>
      </c>
      <c r="G20" s="91">
        <v>0.8956</v>
      </c>
      <c r="H20" s="91">
        <v>-0.1043723279648608</v>
      </c>
      <c r="I20" s="92" t="s">
        <v>247</v>
      </c>
    </row>
    <row r="21" ht="15.75" customHeight="1">
      <c r="A21" s="75" t="s">
        <v>248</v>
      </c>
      <c r="B21" s="75" t="s">
        <v>249</v>
      </c>
      <c r="C21" s="79" t="s">
        <v>114</v>
      </c>
      <c r="D21" s="79"/>
      <c r="E21" s="79"/>
      <c r="F21" s="78">
        <v>0.6518</v>
      </c>
      <c r="G21" s="79"/>
      <c r="H21" s="79"/>
      <c r="I21" s="76" t="s">
        <v>250</v>
      </c>
    </row>
    <row r="22" ht="15.75" customHeight="1">
      <c r="A22" s="2"/>
      <c r="B22" s="2"/>
      <c r="C22" s="2"/>
      <c r="D22" s="2"/>
      <c r="E22" s="2"/>
      <c r="F22" s="2"/>
      <c r="G22" s="2"/>
      <c r="H22" s="2"/>
      <c r="I22" s="2"/>
      <c r="J22" s="2"/>
    </row>
    <row r="23" ht="15.75" customHeight="1">
      <c r="A23" s="68" t="s">
        <v>251</v>
      </c>
      <c r="B23" s="69"/>
      <c r="C23" s="69"/>
      <c r="D23" s="69"/>
      <c r="E23" s="69"/>
      <c r="F23" s="69"/>
      <c r="G23" s="69"/>
      <c r="H23" s="69"/>
      <c r="I23" s="69"/>
      <c r="J23" s="69"/>
    </row>
    <row r="24" ht="15.75" customHeight="1">
      <c r="A24" s="88"/>
    </row>
    <row r="25" ht="15.75" customHeight="1">
      <c r="A25" s="72" t="s">
        <v>252</v>
      </c>
      <c r="B25" s="2"/>
      <c r="C25" s="2"/>
      <c r="D25" s="2"/>
      <c r="E25" s="2"/>
      <c r="F25" s="2"/>
      <c r="G25" s="2"/>
      <c r="H25" s="2"/>
      <c r="I25" s="2"/>
      <c r="J25" s="2"/>
    </row>
    <row r="26" ht="15.75" customHeight="1">
      <c r="A26" s="73" t="s">
        <v>253</v>
      </c>
      <c r="B26" s="73" t="s">
        <v>254</v>
      </c>
      <c r="C26" s="73" t="s">
        <v>255</v>
      </c>
      <c r="D26" s="73" t="s">
        <v>256</v>
      </c>
      <c r="E26" s="73" t="s">
        <v>231</v>
      </c>
      <c r="F26" s="73" t="s">
        <v>232</v>
      </c>
      <c r="G26" s="73" t="s">
        <v>233</v>
      </c>
      <c r="H26" s="73" t="s">
        <v>234</v>
      </c>
      <c r="I26" s="73" t="s">
        <v>235</v>
      </c>
      <c r="J26" s="73" t="s">
        <v>39</v>
      </c>
    </row>
    <row r="27" ht="15.75" customHeight="1">
      <c r="A27" s="80" t="s">
        <v>257</v>
      </c>
      <c r="B27" s="81" t="s">
        <v>258</v>
      </c>
      <c r="C27" s="80" t="s">
        <v>215</v>
      </c>
      <c r="D27" s="82" t="s">
        <v>259</v>
      </c>
      <c r="E27" s="93">
        <v>0.886742483193188</v>
      </c>
      <c r="F27" s="93">
        <v>0.6561895031402268</v>
      </c>
      <c r="G27" s="93">
        <v>0.691183181257672</v>
      </c>
      <c r="H27" s="93">
        <v>0.9041</v>
      </c>
      <c r="I27" s="93">
        <v>-0.01735751680681197</v>
      </c>
      <c r="J27" s="81" t="s">
        <v>260</v>
      </c>
    </row>
    <row r="28" ht="15.75" customHeight="1">
      <c r="A28" s="80" t="s">
        <v>261</v>
      </c>
      <c r="B28" s="80" t="s">
        <v>262</v>
      </c>
      <c r="C28" s="80" t="s">
        <v>215</v>
      </c>
      <c r="D28" s="82" t="s">
        <v>259</v>
      </c>
      <c r="E28" s="93">
        <v>0.8848407168148618</v>
      </c>
      <c r="F28" s="93">
        <v>0.6498733002035729</v>
      </c>
      <c r="G28" s="93">
        <v>0.7126302254675134</v>
      </c>
      <c r="H28" s="93">
        <v>0.9041</v>
      </c>
      <c r="I28" s="93">
        <v>-0.01925928318513825</v>
      </c>
      <c r="J28" s="81" t="s">
        <v>260</v>
      </c>
    </row>
    <row r="29" ht="15.75" customHeight="1">
      <c r="A29" s="75" t="s">
        <v>263</v>
      </c>
      <c r="B29" s="75" t="s">
        <v>264</v>
      </c>
      <c r="C29" s="80" t="s">
        <v>215</v>
      </c>
      <c r="D29" s="79" t="s">
        <v>265</v>
      </c>
      <c r="E29" s="78">
        <v>0.8987832069398466</v>
      </c>
      <c r="F29" s="78">
        <v>0.7035841826984023</v>
      </c>
      <c r="G29" s="78">
        <v>0.7109745214492538</v>
      </c>
      <c r="H29" s="78">
        <v>0.9041</v>
      </c>
      <c r="I29" s="78">
        <v>-0.005316793060153424</v>
      </c>
      <c r="J29" s="75" t="s">
        <v>266</v>
      </c>
    </row>
    <row r="30" ht="15.75" customHeight="1">
      <c r="A30" s="81" t="s">
        <v>267</v>
      </c>
      <c r="B30" s="81" t="s">
        <v>264</v>
      </c>
      <c r="C30" s="80" t="s">
        <v>215</v>
      </c>
      <c r="D30" s="82" t="s">
        <v>265</v>
      </c>
      <c r="E30" s="93">
        <v>0.8956579253356053</v>
      </c>
      <c r="F30" s="93">
        <v>0.6966166111900848</v>
      </c>
      <c r="G30" s="93">
        <v>0.719366724800754</v>
      </c>
      <c r="H30" s="93">
        <v>0.9041</v>
      </c>
      <c r="I30" s="93">
        <v>-0.008442074664394728</v>
      </c>
      <c r="J30" s="81" t="s">
        <v>260</v>
      </c>
    </row>
    <row r="31" ht="15.75" customHeight="1">
      <c r="A31" s="92" t="s">
        <v>268</v>
      </c>
      <c r="B31" s="89" t="s">
        <v>114</v>
      </c>
      <c r="C31" s="94" t="s">
        <v>215</v>
      </c>
      <c r="D31" s="90" t="s">
        <v>114</v>
      </c>
      <c r="E31" s="91">
        <v>0.8948972556793215</v>
      </c>
      <c r="F31" s="91">
        <v>0.6432002681760793</v>
      </c>
      <c r="G31" s="91">
        <v>0.7177394210228485</v>
      </c>
      <c r="H31" s="91">
        <v>0.9041</v>
      </c>
      <c r="I31" s="91">
        <v>-0.009202744320678469</v>
      </c>
      <c r="J31" s="89" t="s">
        <v>269</v>
      </c>
    </row>
    <row r="32" ht="15.75" customHeight="1">
      <c r="A32" s="92" t="s">
        <v>270</v>
      </c>
      <c r="B32" s="89" t="s">
        <v>114</v>
      </c>
      <c r="C32" s="94" t="s">
        <v>215</v>
      </c>
      <c r="D32" s="90" t="s">
        <v>114</v>
      </c>
      <c r="E32" s="91">
        <v>0.9041</v>
      </c>
      <c r="F32" s="90"/>
      <c r="G32" s="90"/>
      <c r="H32" s="91">
        <v>0.9041</v>
      </c>
      <c r="I32" s="90"/>
      <c r="J32" s="89" t="s">
        <v>271</v>
      </c>
    </row>
    <row r="33" ht="15.75" customHeight="1">
      <c r="A33" s="2"/>
      <c r="B33" s="2"/>
      <c r="C33" s="2"/>
      <c r="D33" s="2"/>
      <c r="E33" s="2"/>
      <c r="F33" s="2"/>
      <c r="G33" s="2"/>
      <c r="H33" s="2"/>
      <c r="I33" s="2"/>
      <c r="J33" s="2"/>
    </row>
    <row r="34" ht="15.75" customHeight="1">
      <c r="A34" s="95" t="s">
        <v>272</v>
      </c>
      <c r="B34" s="2"/>
      <c r="C34" s="2"/>
      <c r="D34" s="2"/>
      <c r="E34" s="2"/>
      <c r="F34" s="2"/>
      <c r="G34" s="2"/>
      <c r="H34" s="2"/>
      <c r="I34" s="2"/>
      <c r="J34" s="2"/>
    </row>
    <row r="35" ht="15.75" customHeight="1">
      <c r="A35" s="73" t="s">
        <v>253</v>
      </c>
      <c r="B35" s="73" t="s">
        <v>273</v>
      </c>
      <c r="C35" s="73" t="s">
        <v>255</v>
      </c>
      <c r="D35" s="73" t="s">
        <v>256</v>
      </c>
      <c r="E35" s="73" t="s">
        <v>231</v>
      </c>
      <c r="F35" s="73" t="s">
        <v>232</v>
      </c>
      <c r="G35" s="73" t="s">
        <v>233</v>
      </c>
      <c r="H35" s="73" t="s">
        <v>234</v>
      </c>
      <c r="I35" s="73" t="s">
        <v>235</v>
      </c>
      <c r="J35" s="73" t="s">
        <v>39</v>
      </c>
    </row>
    <row r="36" ht="15.75" customHeight="1">
      <c r="A36" s="80" t="s">
        <v>257</v>
      </c>
      <c r="B36" s="80" t="s">
        <v>215</v>
      </c>
      <c r="C36" s="81" t="s">
        <v>40</v>
      </c>
      <c r="D36" s="82" t="s">
        <v>259</v>
      </c>
      <c r="E36" s="93">
        <v>0.5491482670432674</v>
      </c>
      <c r="F36" s="93">
        <v>0.3395947812133814</v>
      </c>
      <c r="G36" s="93">
        <v>0.5453244389908164</v>
      </c>
      <c r="H36" s="93">
        <v>0.626</v>
      </c>
      <c r="I36" s="93">
        <v>-0.07685173295673264</v>
      </c>
      <c r="J36" s="81" t="s">
        <v>260</v>
      </c>
    </row>
    <row r="37" ht="15.75" customHeight="1">
      <c r="A37" s="76" t="s">
        <v>261</v>
      </c>
      <c r="B37" s="76" t="s">
        <v>215</v>
      </c>
      <c r="C37" s="75" t="s">
        <v>40</v>
      </c>
      <c r="D37" s="79" t="s">
        <v>259</v>
      </c>
      <c r="E37" s="78">
        <v>0.6407787554304429</v>
      </c>
      <c r="F37" s="78">
        <v>0.4166266438849932</v>
      </c>
      <c r="G37" s="78">
        <v>0.6528900828935487</v>
      </c>
      <c r="H37" s="78">
        <v>0.626</v>
      </c>
      <c r="I37" s="78">
        <v>0.01477875543044294</v>
      </c>
      <c r="J37" s="76" t="s">
        <v>274</v>
      </c>
    </row>
    <row r="38" ht="15.75" customHeight="1">
      <c r="A38" s="81" t="s">
        <v>263</v>
      </c>
      <c r="B38" s="80" t="s">
        <v>275</v>
      </c>
      <c r="C38" s="81" t="s">
        <v>40</v>
      </c>
      <c r="D38" s="82" t="s">
        <v>265</v>
      </c>
      <c r="E38" s="93">
        <v>0.5867403351673496</v>
      </c>
      <c r="F38" s="93">
        <v>0.3700871713233857</v>
      </c>
      <c r="G38" s="93">
        <v>0.6015098766242234</v>
      </c>
      <c r="H38" s="93">
        <v>0.626</v>
      </c>
      <c r="I38" s="93">
        <v>-0.03925966483265042</v>
      </c>
      <c r="J38" s="81" t="s">
        <v>260</v>
      </c>
    </row>
    <row r="39" ht="15.75" customHeight="1">
      <c r="A39" s="81" t="s">
        <v>267</v>
      </c>
      <c r="B39" s="81" t="s">
        <v>276</v>
      </c>
      <c r="C39" s="81" t="s">
        <v>40</v>
      </c>
      <c r="D39" s="82" t="s">
        <v>265</v>
      </c>
      <c r="E39" s="93">
        <v>0.5843158225814267</v>
      </c>
      <c r="F39" s="93">
        <v>0.3669085135743158</v>
      </c>
      <c r="G39" s="93">
        <v>0.6003925745222952</v>
      </c>
      <c r="H39" s="93">
        <v>0.626</v>
      </c>
      <c r="I39" s="93">
        <v>-0.04168417741857333</v>
      </c>
      <c r="J39" s="81" t="s">
        <v>260</v>
      </c>
    </row>
    <row r="40" ht="15.75" customHeight="1">
      <c r="A40" s="89" t="s">
        <v>277</v>
      </c>
      <c r="B40" s="92" t="s">
        <v>217</v>
      </c>
      <c r="C40" s="89" t="s">
        <v>40</v>
      </c>
      <c r="D40" s="90" t="s">
        <v>114</v>
      </c>
      <c r="E40" s="91">
        <v>0.6012019195461271</v>
      </c>
      <c r="F40" s="91">
        <v>0.3776627752057543</v>
      </c>
      <c r="G40" s="91">
        <v>0.6157947811487557</v>
      </c>
      <c r="H40" s="91">
        <v>0.626</v>
      </c>
      <c r="I40" s="91">
        <v>-0.02479808045387288</v>
      </c>
      <c r="J40" s="89" t="s">
        <v>269</v>
      </c>
    </row>
    <row r="41" ht="15.75" customHeight="1">
      <c r="A41" s="92" t="s">
        <v>278</v>
      </c>
      <c r="B41" s="89" t="s">
        <v>114</v>
      </c>
      <c r="C41" s="89" t="s">
        <v>40</v>
      </c>
      <c r="D41" s="90" t="s">
        <v>114</v>
      </c>
      <c r="E41" s="91">
        <v>0.626</v>
      </c>
      <c r="F41" s="90"/>
      <c r="G41" s="90"/>
      <c r="H41" s="91">
        <v>0.626</v>
      </c>
      <c r="I41" s="90"/>
      <c r="J41" s="89" t="s">
        <v>279</v>
      </c>
    </row>
    <row r="42" ht="15.75" customHeight="1">
      <c r="A42" s="2"/>
      <c r="B42" s="2"/>
      <c r="C42" s="2"/>
      <c r="D42" s="2"/>
      <c r="E42" s="2"/>
      <c r="F42" s="2"/>
      <c r="G42" s="2"/>
      <c r="H42" s="2"/>
      <c r="I42" s="2"/>
      <c r="J42" s="2"/>
    </row>
    <row r="43" ht="15.75" customHeight="1">
      <c r="A43" s="72" t="s">
        <v>280</v>
      </c>
      <c r="B43" s="2"/>
      <c r="C43" s="2"/>
      <c r="D43" s="2"/>
      <c r="E43" s="2"/>
      <c r="F43" s="2"/>
      <c r="G43" s="2"/>
      <c r="H43" s="2"/>
      <c r="I43" s="2"/>
      <c r="J43" s="2"/>
    </row>
    <row r="44" ht="15.75" customHeight="1">
      <c r="A44" s="73" t="s">
        <v>281</v>
      </c>
      <c r="B44" s="73" t="s">
        <v>255</v>
      </c>
      <c r="C44" s="73" t="s">
        <v>67</v>
      </c>
      <c r="D44" s="73" t="s">
        <v>282</v>
      </c>
      <c r="E44" s="73" t="s">
        <v>283</v>
      </c>
      <c r="F44" s="73" t="s">
        <v>284</v>
      </c>
      <c r="G44" s="73" t="s">
        <v>285</v>
      </c>
      <c r="H44" s="73"/>
      <c r="I44" s="73"/>
      <c r="J44" s="73" t="s">
        <v>186</v>
      </c>
    </row>
    <row r="45" ht="15.75" customHeight="1">
      <c r="A45" s="80" t="s">
        <v>286</v>
      </c>
      <c r="B45" s="80" t="s">
        <v>215</v>
      </c>
      <c r="C45" s="81" t="s">
        <v>231</v>
      </c>
      <c r="D45" s="93">
        <v>-0.001901766378326212</v>
      </c>
      <c r="E45" s="93">
        <v>-0.009599071573316709</v>
      </c>
      <c r="F45" s="93">
        <v>0.005795538816664284</v>
      </c>
      <c r="G45" s="82" t="s">
        <v>287</v>
      </c>
      <c r="H45" s="81"/>
      <c r="I45" s="81"/>
      <c r="J45" s="81" t="s">
        <v>288</v>
      </c>
    </row>
    <row r="46" ht="15.75" customHeight="1">
      <c r="A46" s="80" t="s">
        <v>286</v>
      </c>
      <c r="B46" s="80" t="s">
        <v>215</v>
      </c>
      <c r="C46" s="81" t="s">
        <v>233</v>
      </c>
      <c r="D46" s="93">
        <v>0.02144704420984149</v>
      </c>
      <c r="E46" s="93">
        <v>-0.03679306257610246</v>
      </c>
      <c r="F46" s="93">
        <v>0.07968715099578544</v>
      </c>
      <c r="G46" s="82" t="s">
        <v>289</v>
      </c>
      <c r="H46" s="81"/>
      <c r="I46" s="81"/>
      <c r="J46" s="81" t="s">
        <v>288</v>
      </c>
    </row>
    <row r="47" ht="15.75" customHeight="1">
      <c r="A47" s="76" t="s">
        <v>286</v>
      </c>
      <c r="B47" s="75" t="s">
        <v>40</v>
      </c>
      <c r="C47" s="75" t="s">
        <v>231</v>
      </c>
      <c r="D47" s="78">
        <v>0.09163048838717558</v>
      </c>
      <c r="E47" s="78">
        <v>0.06993758572797774</v>
      </c>
      <c r="F47" s="78">
        <v>0.1133233910463734</v>
      </c>
      <c r="G47" s="79" t="s">
        <v>290</v>
      </c>
      <c r="H47" s="75"/>
      <c r="I47" s="75"/>
      <c r="J47" s="75" t="s">
        <v>291</v>
      </c>
    </row>
    <row r="48" ht="15.75" customHeight="1">
      <c r="A48" s="76" t="s">
        <v>286</v>
      </c>
      <c r="B48" s="75" t="s">
        <v>40</v>
      </c>
      <c r="C48" s="75" t="s">
        <v>233</v>
      </c>
      <c r="D48" s="78">
        <v>0.1075656439027323</v>
      </c>
      <c r="E48" s="78">
        <v>0.0950818427773335</v>
      </c>
      <c r="F48" s="78">
        <v>0.120049445028131</v>
      </c>
      <c r="G48" s="79" t="s">
        <v>290</v>
      </c>
      <c r="H48" s="75"/>
      <c r="I48" s="75"/>
      <c r="J48" s="75" t="s">
        <v>291</v>
      </c>
    </row>
    <row r="49" ht="15.75" customHeight="1">
      <c r="A49" s="81" t="s">
        <v>292</v>
      </c>
      <c r="B49" s="80" t="s">
        <v>215</v>
      </c>
      <c r="C49" s="81" t="s">
        <v>231</v>
      </c>
      <c r="D49" s="93">
        <v>-0.003125281604241303</v>
      </c>
      <c r="E49" s="93">
        <v>-0.006614119834632995</v>
      </c>
      <c r="F49" s="93">
        <v>3.635566261503873E-4</v>
      </c>
      <c r="G49" s="82" t="s">
        <v>293</v>
      </c>
      <c r="H49" s="81"/>
      <c r="I49" s="81"/>
      <c r="J49" s="81" t="s">
        <v>288</v>
      </c>
    </row>
    <row r="50" ht="15.75" customHeight="1">
      <c r="A50" s="81" t="s">
        <v>292</v>
      </c>
      <c r="B50" s="81" t="s">
        <v>40</v>
      </c>
      <c r="C50" s="81" t="s">
        <v>231</v>
      </c>
      <c r="D50" s="93">
        <v>-0.002424512585922874</v>
      </c>
      <c r="E50" s="93">
        <v>-0.04202647967593959</v>
      </c>
      <c r="F50" s="93">
        <v>0.03717745450409383</v>
      </c>
      <c r="G50" s="82" t="s">
        <v>289</v>
      </c>
      <c r="H50" s="81"/>
      <c r="I50" s="81"/>
      <c r="J50" s="81" t="s">
        <v>288</v>
      </c>
    </row>
    <row r="51" ht="15.75" customHeight="1">
      <c r="A51" s="2"/>
      <c r="B51" s="2"/>
      <c r="C51" s="2"/>
      <c r="D51" s="2"/>
      <c r="E51" s="2"/>
      <c r="F51" s="2"/>
      <c r="G51" s="2"/>
      <c r="H51" s="2"/>
      <c r="I51" s="2"/>
      <c r="J51" s="2"/>
    </row>
    <row r="52" ht="15.75" customHeight="1">
      <c r="A52" s="68" t="s">
        <v>294</v>
      </c>
      <c r="B52" s="69"/>
      <c r="C52" s="69"/>
      <c r="D52" s="69"/>
      <c r="E52" s="69"/>
      <c r="F52" s="69"/>
      <c r="G52" s="69"/>
      <c r="H52" s="69"/>
      <c r="I52" s="69"/>
      <c r="J52" s="69"/>
    </row>
    <row r="53" ht="15.75" customHeight="1">
      <c r="A53" s="88"/>
    </row>
    <row r="54" ht="15.75" customHeight="1">
      <c r="A54" s="73" t="s">
        <v>253</v>
      </c>
      <c r="B54" s="73" t="s">
        <v>295</v>
      </c>
      <c r="C54" s="73" t="s">
        <v>255</v>
      </c>
      <c r="D54" s="73" t="s">
        <v>256</v>
      </c>
      <c r="E54" s="73" t="s">
        <v>231</v>
      </c>
      <c r="F54" s="73" t="s">
        <v>232</v>
      </c>
      <c r="G54" s="73" t="s">
        <v>233</v>
      </c>
      <c r="H54" s="73" t="s">
        <v>296</v>
      </c>
      <c r="I54" s="73" t="s">
        <v>297</v>
      </c>
      <c r="J54" s="73" t="s">
        <v>39</v>
      </c>
    </row>
    <row r="55" ht="15.75" customHeight="1">
      <c r="A55" s="92" t="s">
        <v>298</v>
      </c>
      <c r="B55" s="92" t="s">
        <v>299</v>
      </c>
      <c r="C55" s="89" t="s">
        <v>46</v>
      </c>
      <c r="D55" s="90" t="s">
        <v>114</v>
      </c>
      <c r="E55" s="91">
        <v>0.7912276720351391</v>
      </c>
      <c r="F55" s="91">
        <v>0.2570523517306796</v>
      </c>
      <c r="G55" s="91">
        <v>0.7578264834388191</v>
      </c>
      <c r="H55" s="90"/>
      <c r="I55" s="90"/>
      <c r="J55" s="89" t="s">
        <v>300</v>
      </c>
    </row>
    <row r="56" ht="15.75" customHeight="1">
      <c r="A56" s="84" t="s">
        <v>301</v>
      </c>
      <c r="B56" s="83" t="s">
        <v>114</v>
      </c>
      <c r="C56" s="83" t="s">
        <v>46</v>
      </c>
      <c r="D56" s="87" t="s">
        <v>302</v>
      </c>
      <c r="E56" s="86">
        <v>0.9236873474865789</v>
      </c>
      <c r="F56" s="86">
        <v>0.3422481696902756</v>
      </c>
      <c r="G56" s="86">
        <v>0.617413163681546</v>
      </c>
      <c r="H56" s="86">
        <v>0.7578264834388191</v>
      </c>
      <c r="I56" s="86">
        <v>-0.1404133197572731</v>
      </c>
      <c r="J56" s="83" t="s">
        <v>303</v>
      </c>
    </row>
    <row r="57" ht="15.75" customHeight="1">
      <c r="A57" s="75" t="s">
        <v>304</v>
      </c>
      <c r="B57" s="76" t="s">
        <v>305</v>
      </c>
      <c r="C57" s="75" t="s">
        <v>46</v>
      </c>
      <c r="D57" s="79" t="s">
        <v>302</v>
      </c>
      <c r="E57" s="78">
        <v>0.9245245851634943</v>
      </c>
      <c r="F57" s="78">
        <v>0.348502699868886</v>
      </c>
      <c r="G57" s="78">
        <v>0.6540209126132417</v>
      </c>
      <c r="H57" s="78">
        <v>0.7578264834388191</v>
      </c>
      <c r="I57" s="78">
        <v>-0.1038055708255774</v>
      </c>
      <c r="J57" s="75" t="s">
        <v>306</v>
      </c>
    </row>
    <row r="58" ht="15.75" customHeight="1">
      <c r="A58" s="2"/>
      <c r="B58" s="2"/>
      <c r="C58" s="2"/>
      <c r="D58" s="2"/>
      <c r="E58" s="2"/>
      <c r="F58" s="2"/>
      <c r="G58" s="2"/>
      <c r="H58" s="2"/>
      <c r="I58" s="2"/>
      <c r="J58" s="2"/>
    </row>
    <row r="59" ht="15.75" customHeight="1">
      <c r="A59" s="95" t="s">
        <v>307</v>
      </c>
      <c r="B59" s="2"/>
      <c r="C59" s="2"/>
      <c r="D59" s="2"/>
      <c r="E59" s="2"/>
      <c r="F59" s="2"/>
      <c r="G59" s="2"/>
      <c r="H59" s="2"/>
      <c r="I59" s="2"/>
      <c r="J59" s="2"/>
    </row>
    <row r="60" ht="15.75" customHeight="1">
      <c r="A60" s="73" t="s">
        <v>253</v>
      </c>
      <c r="B60" s="73" t="s">
        <v>273</v>
      </c>
      <c r="C60" s="73" t="s">
        <v>255</v>
      </c>
      <c r="D60" s="73" t="s">
        <v>256</v>
      </c>
      <c r="E60" s="73" t="s">
        <v>231</v>
      </c>
      <c r="F60" s="73" t="s">
        <v>232</v>
      </c>
      <c r="G60" s="73" t="s">
        <v>233</v>
      </c>
      <c r="H60" s="73" t="s">
        <v>234</v>
      </c>
      <c r="I60" s="73" t="s">
        <v>235</v>
      </c>
      <c r="J60" s="73" t="s">
        <v>39</v>
      </c>
    </row>
    <row r="61" ht="15.75" customHeight="1">
      <c r="A61" s="81" t="s">
        <v>301</v>
      </c>
      <c r="B61" s="81" t="s">
        <v>46</v>
      </c>
      <c r="C61" s="81" t="s">
        <v>40</v>
      </c>
      <c r="D61" s="82" t="s">
        <v>302</v>
      </c>
      <c r="E61" s="93">
        <v>0.5453203063613512</v>
      </c>
      <c r="F61" s="93">
        <v>0.341131482648341</v>
      </c>
      <c r="G61" s="93">
        <v>0.5495574102645185</v>
      </c>
      <c r="H61" s="93">
        <v>0.626</v>
      </c>
      <c r="I61" s="93">
        <v>-0.0806796936386488</v>
      </c>
      <c r="J61" s="81" t="s">
        <v>308</v>
      </c>
    </row>
    <row r="62" ht="15.75" customHeight="1">
      <c r="A62" s="75" t="s">
        <v>304</v>
      </c>
      <c r="B62" s="75" t="s">
        <v>46</v>
      </c>
      <c r="C62" s="75" t="s">
        <v>40</v>
      </c>
      <c r="D62" s="79" t="s">
        <v>302</v>
      </c>
      <c r="E62" s="78">
        <v>0.5759154538964681</v>
      </c>
      <c r="F62" s="78">
        <v>0.3589278612772674</v>
      </c>
      <c r="G62" s="78">
        <v>0.588720499051889</v>
      </c>
      <c r="H62" s="78">
        <v>0.626</v>
      </c>
      <c r="I62" s="78">
        <v>-0.05008454610353186</v>
      </c>
      <c r="J62" s="75"/>
    </row>
    <row r="63" ht="15.75" customHeight="1">
      <c r="A63" s="2"/>
      <c r="B63" s="2"/>
      <c r="C63" s="2"/>
      <c r="D63" s="2"/>
      <c r="E63" s="2"/>
      <c r="F63" s="2"/>
      <c r="G63" s="2"/>
      <c r="H63" s="2"/>
      <c r="I63" s="2"/>
      <c r="J63" s="2"/>
    </row>
    <row r="64" ht="15.75" customHeight="1">
      <c r="A64" s="2"/>
      <c r="B64" s="2"/>
      <c r="C64" s="2"/>
      <c r="D64" s="2"/>
      <c r="E64" s="2"/>
      <c r="F64" s="2"/>
      <c r="G64" s="2"/>
      <c r="H64" s="2"/>
      <c r="I64" s="2"/>
      <c r="J64" s="2"/>
    </row>
    <row r="65" ht="15.75" customHeight="1">
      <c r="A65" s="68" t="s">
        <v>309</v>
      </c>
      <c r="B65" s="69"/>
      <c r="C65" s="69"/>
      <c r="D65" s="69"/>
      <c r="E65" s="69"/>
      <c r="F65" s="69"/>
      <c r="G65" s="69"/>
      <c r="H65" s="69"/>
      <c r="I65" s="69"/>
      <c r="J65" s="69"/>
    </row>
    <row r="66" ht="15.75" customHeight="1">
      <c r="A66" s="96" t="s">
        <v>310</v>
      </c>
    </row>
    <row r="67" ht="15.75" customHeight="1">
      <c r="A67" s="72" t="s">
        <v>311</v>
      </c>
      <c r="B67" s="2"/>
      <c r="C67" s="2"/>
      <c r="D67" s="2"/>
      <c r="E67" s="2"/>
      <c r="F67" s="2"/>
      <c r="G67" s="2"/>
      <c r="H67" s="2"/>
      <c r="I67" s="2"/>
      <c r="J67" s="2"/>
    </row>
    <row r="68" ht="15.75" customHeight="1">
      <c r="A68" s="73" t="s">
        <v>253</v>
      </c>
      <c r="B68" s="73" t="s">
        <v>312</v>
      </c>
      <c r="C68" s="73" t="s">
        <v>255</v>
      </c>
      <c r="D68" s="74" t="s">
        <v>313</v>
      </c>
      <c r="E68" s="73" t="s">
        <v>231</v>
      </c>
      <c r="F68" s="73" t="s">
        <v>232</v>
      </c>
      <c r="G68" s="73" t="s">
        <v>233</v>
      </c>
      <c r="H68" s="73" t="s">
        <v>314</v>
      </c>
      <c r="I68" s="73" t="s">
        <v>315</v>
      </c>
      <c r="J68" s="73" t="s">
        <v>39</v>
      </c>
    </row>
    <row r="69" ht="15.75" customHeight="1">
      <c r="A69" s="81" t="s">
        <v>257</v>
      </c>
      <c r="B69" s="81">
        <v>2024.0</v>
      </c>
      <c r="C69" s="80" t="s">
        <v>316</v>
      </c>
      <c r="D69" s="82" t="s">
        <v>317</v>
      </c>
      <c r="E69" s="93">
        <v>0.6230302243992729</v>
      </c>
      <c r="F69" s="93">
        <v>0.4764173800560108</v>
      </c>
      <c r="G69" s="93">
        <v>0.633409862583937</v>
      </c>
      <c r="H69" s="93">
        <v>0.7037</v>
      </c>
      <c r="I69" s="93">
        <v>-0.08066977560072708</v>
      </c>
      <c r="J69" s="81" t="s">
        <v>318</v>
      </c>
    </row>
    <row r="70" ht="15.75" customHeight="1">
      <c r="A70" s="81" t="s">
        <v>257</v>
      </c>
      <c r="B70" s="81">
        <v>2025.0</v>
      </c>
      <c r="C70" s="80" t="s">
        <v>316</v>
      </c>
      <c r="D70" s="82" t="s">
        <v>317</v>
      </c>
      <c r="E70" s="93">
        <v>0.6163772247274282</v>
      </c>
      <c r="F70" s="93">
        <v>0.4747093404349266</v>
      </c>
      <c r="G70" s="93">
        <v>0.6351581481718938</v>
      </c>
      <c r="H70" s="93">
        <v>0.7037</v>
      </c>
      <c r="I70" s="93">
        <v>-0.08732277527257182</v>
      </c>
      <c r="J70" s="81"/>
    </row>
    <row r="71" ht="15.75" customHeight="1">
      <c r="A71" s="81" t="s">
        <v>257</v>
      </c>
      <c r="B71" s="81">
        <v>2026.0</v>
      </c>
      <c r="C71" s="80" t="s">
        <v>316</v>
      </c>
      <c r="D71" s="82" t="s">
        <v>317</v>
      </c>
      <c r="E71" s="93">
        <v>0.6152462593975954</v>
      </c>
      <c r="F71" s="93">
        <v>0.4533055328933253</v>
      </c>
      <c r="G71" s="93">
        <v>0.6056965986262889</v>
      </c>
      <c r="H71" s="93">
        <v>0.7037</v>
      </c>
      <c r="I71" s="93">
        <v>-0.08845374060240463</v>
      </c>
      <c r="J71" s="81"/>
    </row>
    <row r="72" ht="15.75" customHeight="1">
      <c r="A72" s="97" t="s">
        <v>319</v>
      </c>
      <c r="B72" s="97" t="s">
        <v>114</v>
      </c>
      <c r="C72" s="98" t="s">
        <v>316</v>
      </c>
      <c r="D72" s="99" t="s">
        <v>317</v>
      </c>
      <c r="E72" s="100">
        <v>0.6182179028414322</v>
      </c>
      <c r="F72" s="100">
        <v>0.4681440844614209</v>
      </c>
      <c r="G72" s="100">
        <v>0.6247548697940398</v>
      </c>
      <c r="H72" s="100">
        <v>0.5983</v>
      </c>
      <c r="I72" s="100">
        <v>0.02645486979403977</v>
      </c>
      <c r="J72" s="97" t="s">
        <v>320</v>
      </c>
    </row>
    <row r="73" ht="15.75" customHeight="1">
      <c r="A73" s="101" t="s">
        <v>261</v>
      </c>
      <c r="B73" s="102">
        <v>2024.0</v>
      </c>
      <c r="C73" s="103" t="s">
        <v>316</v>
      </c>
      <c r="D73" s="104" t="s">
        <v>317</v>
      </c>
      <c r="E73" s="105">
        <v>0.6295365220324984</v>
      </c>
      <c r="F73" s="105">
        <v>0.48444944091330844</v>
      </c>
      <c r="G73" s="105">
        <v>0.6287658030599192</v>
      </c>
      <c r="H73" s="105">
        <v>0.7037</v>
      </c>
      <c r="I73" s="105">
        <v>-0.07416347796750156</v>
      </c>
      <c r="J73" s="106" t="s">
        <v>321</v>
      </c>
      <c r="K73" s="107"/>
      <c r="L73" s="107"/>
      <c r="M73" s="107"/>
      <c r="N73" s="107"/>
      <c r="O73" s="107"/>
      <c r="P73" s="107"/>
      <c r="Q73" s="107"/>
      <c r="R73" s="107"/>
      <c r="S73" s="107"/>
      <c r="T73" s="107"/>
      <c r="U73" s="107"/>
      <c r="V73" s="107"/>
      <c r="W73" s="107"/>
      <c r="X73" s="107"/>
      <c r="Y73" s="107"/>
      <c r="Z73" s="107"/>
    </row>
    <row r="74" ht="15.75" customHeight="1">
      <c r="A74" s="101" t="s">
        <v>261</v>
      </c>
      <c r="B74" s="102">
        <v>2025.0</v>
      </c>
      <c r="C74" s="103" t="s">
        <v>316</v>
      </c>
      <c r="D74" s="104" t="s">
        <v>317</v>
      </c>
      <c r="E74" s="105">
        <v>0.6274954141210045</v>
      </c>
      <c r="F74" s="105">
        <v>0.4862991687552388</v>
      </c>
      <c r="G74" s="105">
        <v>0.6308373520811251</v>
      </c>
      <c r="H74" s="105">
        <v>0.7037</v>
      </c>
      <c r="I74" s="105">
        <v>-0.07620458587899548</v>
      </c>
      <c r="J74" s="108"/>
      <c r="K74" s="107"/>
      <c r="L74" s="107"/>
      <c r="M74" s="107"/>
      <c r="N74" s="107"/>
      <c r="O74" s="107"/>
      <c r="P74" s="107"/>
      <c r="Q74" s="107"/>
      <c r="R74" s="107"/>
      <c r="S74" s="107"/>
      <c r="T74" s="107"/>
      <c r="U74" s="107"/>
      <c r="V74" s="107"/>
      <c r="W74" s="107"/>
      <c r="X74" s="107"/>
      <c r="Y74" s="107"/>
      <c r="Z74" s="107"/>
    </row>
    <row r="75" ht="15.75" customHeight="1">
      <c r="A75" s="101" t="s">
        <v>261</v>
      </c>
      <c r="B75" s="102">
        <v>2026.0</v>
      </c>
      <c r="C75" s="103" t="s">
        <v>316</v>
      </c>
      <c r="D75" s="104" t="s">
        <v>317</v>
      </c>
      <c r="E75" s="105">
        <v>0.6203579428345987</v>
      </c>
      <c r="F75" s="105">
        <v>0.47439102131854116</v>
      </c>
      <c r="G75" s="105">
        <v>0.6319896669952465</v>
      </c>
      <c r="H75" s="105">
        <v>0.7037</v>
      </c>
      <c r="I75" s="105">
        <v>-0.08334205716540133</v>
      </c>
      <c r="J75" s="108"/>
      <c r="K75" s="107"/>
      <c r="L75" s="107"/>
      <c r="M75" s="107"/>
      <c r="N75" s="107"/>
      <c r="O75" s="107"/>
      <c r="P75" s="107"/>
      <c r="Q75" s="107"/>
      <c r="R75" s="107"/>
      <c r="S75" s="107"/>
      <c r="T75" s="107"/>
      <c r="U75" s="107"/>
      <c r="V75" s="107"/>
      <c r="W75" s="107"/>
      <c r="X75" s="107"/>
      <c r="Y75" s="107"/>
      <c r="Z75" s="107"/>
    </row>
    <row r="76" ht="15.75" customHeight="1">
      <c r="A76" s="109" t="s">
        <v>322</v>
      </c>
      <c r="B76" s="110" t="s">
        <v>114</v>
      </c>
      <c r="C76" s="111" t="s">
        <v>316</v>
      </c>
      <c r="D76" s="112" t="s">
        <v>317</v>
      </c>
      <c r="E76" s="113">
        <v>0.6257966263293672</v>
      </c>
      <c r="F76" s="113">
        <v>0.4817132103290295</v>
      </c>
      <c r="G76" s="113">
        <v>0.6305309407120969</v>
      </c>
      <c r="H76" s="113">
        <v>0.5983</v>
      </c>
      <c r="I76" s="113">
        <v>0.03223094071209687</v>
      </c>
      <c r="J76" s="109" t="s">
        <v>323</v>
      </c>
      <c r="K76" s="107"/>
      <c r="L76" s="107"/>
      <c r="M76" s="107"/>
      <c r="N76" s="107"/>
      <c r="O76" s="107"/>
      <c r="P76" s="107"/>
      <c r="Q76" s="107"/>
      <c r="R76" s="107"/>
      <c r="S76" s="107"/>
      <c r="T76" s="107"/>
      <c r="U76" s="107"/>
      <c r="V76" s="107"/>
      <c r="W76" s="107"/>
      <c r="X76" s="107"/>
      <c r="Y76" s="107"/>
      <c r="Z76" s="107"/>
    </row>
    <row r="77" ht="15.75" customHeight="1">
      <c r="A77" s="114" t="s">
        <v>324</v>
      </c>
      <c r="B77" s="115" t="s">
        <v>114</v>
      </c>
      <c r="C77" s="115" t="s">
        <v>238</v>
      </c>
      <c r="D77" s="116" t="s">
        <v>317</v>
      </c>
      <c r="E77" s="117">
        <v>0.5855984817005983</v>
      </c>
      <c r="F77" s="117">
        <v>0.4022815832392279</v>
      </c>
      <c r="G77" s="117">
        <v>0.6112900301628674</v>
      </c>
      <c r="H77" s="117">
        <v>0.6408</v>
      </c>
      <c r="I77" s="117">
        <v>-0.05520151829940179</v>
      </c>
      <c r="J77" s="115" t="s">
        <v>325</v>
      </c>
    </row>
    <row r="78" ht="39.0" customHeight="1">
      <c r="A78" s="118" t="s">
        <v>322</v>
      </c>
      <c r="B78" s="119" t="s">
        <v>114</v>
      </c>
      <c r="C78" s="119" t="s">
        <v>238</v>
      </c>
      <c r="D78" s="120" t="s">
        <v>317</v>
      </c>
      <c r="E78" s="121">
        <v>0.6077219358159522</v>
      </c>
      <c r="F78" s="121">
        <v>0.41049897375444144</v>
      </c>
      <c r="G78" s="121">
        <v>0.6375590555677878</v>
      </c>
      <c r="H78" s="121">
        <v>0.6408</v>
      </c>
      <c r="I78" s="121">
        <v>-0.033078064184047795</v>
      </c>
      <c r="J78" s="118" t="s">
        <v>326</v>
      </c>
      <c r="K78" s="107"/>
      <c r="L78" s="107"/>
      <c r="M78" s="107"/>
      <c r="N78" s="107"/>
      <c r="O78" s="107"/>
      <c r="P78" s="107"/>
      <c r="Q78" s="107"/>
      <c r="R78" s="107"/>
      <c r="S78" s="107"/>
      <c r="T78" s="107"/>
      <c r="U78" s="107"/>
      <c r="V78" s="107"/>
      <c r="W78" s="107"/>
      <c r="X78" s="107"/>
      <c r="Y78" s="107"/>
      <c r="Z78" s="107"/>
    </row>
    <row r="79" ht="15.75" customHeight="1">
      <c r="A79" s="2"/>
      <c r="B79" s="2"/>
      <c r="C79" s="2"/>
      <c r="D79" s="2"/>
      <c r="E79" s="2"/>
      <c r="F79" s="2"/>
      <c r="G79" s="2"/>
      <c r="H79" s="2"/>
      <c r="I79" s="2"/>
      <c r="J79" s="2"/>
    </row>
    <row r="80" ht="15.75" customHeight="1">
      <c r="A80" s="72" t="s">
        <v>327</v>
      </c>
      <c r="B80" s="2"/>
      <c r="C80" s="2"/>
      <c r="D80" s="2"/>
      <c r="E80" s="2"/>
      <c r="F80" s="2"/>
      <c r="G80" s="2"/>
      <c r="H80" s="2"/>
      <c r="I80" s="2"/>
      <c r="J80" s="2"/>
    </row>
    <row r="81" ht="15.75" customHeight="1">
      <c r="A81" s="74" t="s">
        <v>328</v>
      </c>
      <c r="B81" s="73" t="s">
        <v>255</v>
      </c>
      <c r="C81" s="73" t="s">
        <v>67</v>
      </c>
      <c r="D81" s="73" t="s">
        <v>282</v>
      </c>
      <c r="E81" s="73" t="s">
        <v>283</v>
      </c>
      <c r="F81" s="73" t="s">
        <v>284</v>
      </c>
      <c r="G81" s="73" t="s">
        <v>285</v>
      </c>
      <c r="H81" s="73"/>
      <c r="I81" s="73"/>
      <c r="J81" s="73" t="s">
        <v>186</v>
      </c>
    </row>
    <row r="82" ht="15.75" customHeight="1">
      <c r="A82" s="101" t="s">
        <v>286</v>
      </c>
      <c r="B82" s="106" t="s">
        <v>329</v>
      </c>
      <c r="C82" s="106" t="s">
        <v>231</v>
      </c>
      <c r="D82" s="105">
        <v>0.007578723487935053</v>
      </c>
      <c r="E82" s="105">
        <v>-2.3036456845759723E-4</v>
      </c>
      <c r="F82" s="105">
        <v>0.015387811544327704</v>
      </c>
      <c r="G82" s="104" t="s">
        <v>290</v>
      </c>
      <c r="H82" s="108"/>
      <c r="I82" s="108"/>
      <c r="J82" s="106" t="s">
        <v>330</v>
      </c>
    </row>
    <row r="83" ht="15.75" customHeight="1">
      <c r="A83" s="101" t="s">
        <v>286</v>
      </c>
      <c r="B83" s="106" t="s">
        <v>329</v>
      </c>
      <c r="C83" s="106" t="s">
        <v>232</v>
      </c>
      <c r="D83" s="105">
        <v>0.013569125867608592</v>
      </c>
      <c r="E83" s="105">
        <v>-0.003193964791120678</v>
      </c>
      <c r="F83" s="105">
        <v>0.030332216526337864</v>
      </c>
      <c r="G83" s="104" t="s">
        <v>290</v>
      </c>
      <c r="H83" s="108"/>
      <c r="I83" s="108"/>
      <c r="J83" s="106" t="s">
        <v>331</v>
      </c>
    </row>
    <row r="84" ht="15.75" customHeight="1">
      <c r="A84" s="122" t="s">
        <v>286</v>
      </c>
      <c r="B84" s="123" t="s">
        <v>329</v>
      </c>
      <c r="C84" s="123" t="s">
        <v>233</v>
      </c>
      <c r="D84" s="124">
        <v>0.005776070918057097</v>
      </c>
      <c r="E84" s="124">
        <v>-0.038364512815532624</v>
      </c>
      <c r="F84" s="124">
        <v>0.04991665465164682</v>
      </c>
      <c r="G84" s="125" t="s">
        <v>332</v>
      </c>
      <c r="H84" s="126"/>
      <c r="I84" s="126"/>
      <c r="J84" s="123" t="s">
        <v>331</v>
      </c>
    </row>
    <row r="85" ht="15.75" customHeight="1">
      <c r="A85" s="101" t="s">
        <v>286</v>
      </c>
      <c r="B85" s="106" t="s">
        <v>238</v>
      </c>
      <c r="C85" s="106" t="s">
        <v>231</v>
      </c>
      <c r="D85" s="105">
        <v>0.02212345411535403</v>
      </c>
      <c r="E85" s="105">
        <v>-0.01100677985486721</v>
      </c>
      <c r="F85" s="105">
        <v>0.055253688085575264</v>
      </c>
      <c r="G85" s="104" t="s">
        <v>290</v>
      </c>
      <c r="H85" s="108"/>
      <c r="I85" s="108"/>
      <c r="J85" s="106" t="s">
        <v>333</v>
      </c>
    </row>
    <row r="86" ht="15.75" customHeight="1">
      <c r="A86" s="101" t="s">
        <v>286</v>
      </c>
      <c r="B86" s="106" t="s">
        <v>238</v>
      </c>
      <c r="C86" s="106" t="s">
        <v>233</v>
      </c>
      <c r="D86" s="105">
        <v>0.026269025404920338</v>
      </c>
      <c r="E86" s="105">
        <v>-0.018876372467167165</v>
      </c>
      <c r="F86" s="105">
        <v>0.07141442327700784</v>
      </c>
      <c r="G86" s="104" t="s">
        <v>290</v>
      </c>
      <c r="H86" s="108"/>
      <c r="I86" s="108"/>
      <c r="J86" s="106" t="s">
        <v>333</v>
      </c>
    </row>
    <row r="87" ht="15.75" customHeight="1">
      <c r="A87" s="2"/>
      <c r="B87" s="2"/>
      <c r="C87" s="2"/>
      <c r="D87" s="2"/>
      <c r="E87" s="2"/>
      <c r="F87" s="2"/>
      <c r="G87" s="2"/>
      <c r="H87" s="2"/>
      <c r="I87" s="2"/>
      <c r="J87" s="2"/>
    </row>
    <row r="88" ht="15.75" customHeight="1">
      <c r="A88" s="69" t="s">
        <v>334</v>
      </c>
      <c r="B88" s="69"/>
      <c r="C88" s="69"/>
      <c r="D88" s="69"/>
      <c r="E88" s="69"/>
      <c r="F88" s="69"/>
      <c r="G88" s="69"/>
      <c r="H88" s="69"/>
      <c r="I88" s="69"/>
      <c r="J88" s="69"/>
    </row>
    <row r="89" ht="15.75" customHeight="1">
      <c r="A89" s="74" t="s">
        <v>228</v>
      </c>
      <c r="B89" s="73" t="s">
        <v>130</v>
      </c>
      <c r="C89" s="73" t="s">
        <v>335</v>
      </c>
      <c r="D89" s="73" t="s">
        <v>256</v>
      </c>
      <c r="E89" s="73" t="s">
        <v>230</v>
      </c>
      <c r="F89" s="73" t="s">
        <v>336</v>
      </c>
      <c r="G89" s="73" t="s">
        <v>337</v>
      </c>
      <c r="H89" s="73" t="s">
        <v>83</v>
      </c>
      <c r="I89" s="73" t="s">
        <v>338</v>
      </c>
      <c r="J89" s="73" t="s">
        <v>39</v>
      </c>
    </row>
    <row r="90" ht="15.75" customHeight="1">
      <c r="A90" s="81" t="s">
        <v>339</v>
      </c>
      <c r="B90" s="80" t="s">
        <v>215</v>
      </c>
      <c r="C90" s="81" t="s">
        <v>340</v>
      </c>
      <c r="D90" s="82">
        <v>500.0</v>
      </c>
      <c r="E90" s="82">
        <v>125.0</v>
      </c>
      <c r="F90" s="82">
        <v>64.0</v>
      </c>
      <c r="G90" s="82" t="s">
        <v>341</v>
      </c>
      <c r="H90" s="82">
        <v>9.0</v>
      </c>
      <c r="I90" s="82" t="s">
        <v>342</v>
      </c>
      <c r="J90" s="81" t="s">
        <v>343</v>
      </c>
    </row>
    <row r="91" ht="15.75" customHeight="1">
      <c r="A91" s="81" t="s">
        <v>344</v>
      </c>
      <c r="B91" s="80" t="s">
        <v>215</v>
      </c>
      <c r="C91" s="80" t="s">
        <v>345</v>
      </c>
      <c r="D91" s="82">
        <v>160.0</v>
      </c>
      <c r="E91" s="82">
        <v>40.0</v>
      </c>
      <c r="F91" s="82">
        <v>64.0</v>
      </c>
      <c r="G91" s="82" t="s">
        <v>341</v>
      </c>
      <c r="H91" s="82">
        <v>9.0</v>
      </c>
      <c r="I91" s="82" t="s">
        <v>342</v>
      </c>
      <c r="J91" s="81" t="s">
        <v>346</v>
      </c>
    </row>
    <row r="92" ht="15.75" customHeight="1">
      <c r="A92" s="81" t="s">
        <v>217</v>
      </c>
      <c r="B92" s="81" t="s">
        <v>217</v>
      </c>
      <c r="C92" s="81" t="s">
        <v>347</v>
      </c>
      <c r="D92" s="82">
        <v>13360.0</v>
      </c>
      <c r="E92" s="82">
        <v>40.0</v>
      </c>
      <c r="F92" s="82">
        <v>64.0</v>
      </c>
      <c r="G92" s="82" t="s">
        <v>341</v>
      </c>
      <c r="H92" s="82">
        <v>9.0</v>
      </c>
      <c r="I92" s="82" t="s">
        <v>342</v>
      </c>
      <c r="J92" s="81" t="s">
        <v>348</v>
      </c>
    </row>
    <row r="93" ht="15.75" customHeight="1">
      <c r="A93" s="81" t="s">
        <v>46</v>
      </c>
      <c r="B93" s="81" t="s">
        <v>46</v>
      </c>
      <c r="C93" s="81" t="s">
        <v>347</v>
      </c>
      <c r="D93" s="82">
        <v>504.0</v>
      </c>
      <c r="E93" s="82">
        <v>72.0</v>
      </c>
      <c r="F93" s="82">
        <v>64.0</v>
      </c>
      <c r="G93" s="82" t="s">
        <v>341</v>
      </c>
      <c r="H93" s="82">
        <v>9.0</v>
      </c>
      <c r="I93" s="82" t="s">
        <v>342</v>
      </c>
      <c r="J93" s="81" t="s">
        <v>349</v>
      </c>
    </row>
    <row r="94" ht="43.5" customHeight="1">
      <c r="A94" s="75" t="s">
        <v>350</v>
      </c>
      <c r="B94" s="75" t="s">
        <v>351</v>
      </c>
      <c r="C94" s="75" t="s">
        <v>340</v>
      </c>
      <c r="D94" s="79">
        <v>2040.0</v>
      </c>
      <c r="E94" s="79">
        <v>20.0</v>
      </c>
      <c r="F94" s="79">
        <v>64.0</v>
      </c>
      <c r="G94" s="79" t="s">
        <v>341</v>
      </c>
      <c r="H94" s="79">
        <v>3.0</v>
      </c>
      <c r="I94" s="79" t="s">
        <v>352</v>
      </c>
      <c r="J94" s="75" t="s">
        <v>353</v>
      </c>
    </row>
    <row r="95" ht="15.75" customHeight="1">
      <c r="A95" s="2"/>
      <c r="B95" s="2"/>
      <c r="C95" s="2"/>
      <c r="D95" s="2"/>
      <c r="E95" s="2"/>
      <c r="F95" s="2"/>
      <c r="G95" s="2"/>
      <c r="H95" s="2"/>
      <c r="I95" s="2"/>
      <c r="J95" s="2"/>
    </row>
    <row r="96" ht="15.75" customHeight="1">
      <c r="A96" s="68" t="s">
        <v>354</v>
      </c>
      <c r="B96" s="69"/>
      <c r="C96" s="69"/>
      <c r="D96" s="69"/>
      <c r="E96" s="69"/>
      <c r="F96" s="69"/>
      <c r="G96" s="69"/>
      <c r="H96" s="69"/>
      <c r="I96" s="69"/>
      <c r="J96" s="69"/>
    </row>
    <row r="97" ht="15.75" customHeight="1">
      <c r="A97" s="127" t="s">
        <v>185</v>
      </c>
      <c r="B97" s="128" t="s">
        <v>355</v>
      </c>
      <c r="C97" s="129"/>
      <c r="D97" s="130"/>
      <c r="E97" s="131" t="s">
        <v>70</v>
      </c>
      <c r="F97" s="129"/>
      <c r="G97" s="129"/>
      <c r="H97" s="129"/>
      <c r="I97" s="130"/>
      <c r="J97" s="132" t="s">
        <v>70</v>
      </c>
    </row>
    <row r="98" ht="60.75" customHeight="1">
      <c r="A98" s="133" t="s">
        <v>188</v>
      </c>
      <c r="B98" s="134" t="s">
        <v>356</v>
      </c>
      <c r="C98" s="129"/>
      <c r="D98" s="130"/>
      <c r="E98" s="135"/>
      <c r="F98" s="129"/>
      <c r="G98" s="129"/>
      <c r="H98" s="129"/>
      <c r="I98" s="130"/>
      <c r="J98" s="106"/>
    </row>
    <row r="99" ht="39.75" customHeight="1">
      <c r="A99" s="133" t="s">
        <v>191</v>
      </c>
      <c r="B99" s="136" t="s">
        <v>357</v>
      </c>
      <c r="C99" s="129"/>
      <c r="D99" s="130"/>
      <c r="E99" s="135"/>
      <c r="F99" s="129"/>
      <c r="G99" s="129"/>
      <c r="H99" s="129"/>
      <c r="I99" s="130"/>
      <c r="J99" s="108"/>
    </row>
    <row r="100" ht="57.0" customHeight="1">
      <c r="A100" s="137" t="s">
        <v>194</v>
      </c>
      <c r="B100" s="138" t="s">
        <v>358</v>
      </c>
      <c r="C100" s="129"/>
      <c r="D100" s="130"/>
      <c r="E100" s="139"/>
      <c r="F100" s="129"/>
      <c r="G100" s="129"/>
      <c r="H100" s="129"/>
      <c r="I100" s="130"/>
      <c r="J100" s="108"/>
    </row>
    <row r="101" ht="55.5" customHeight="1">
      <c r="A101" s="137" t="s">
        <v>359</v>
      </c>
      <c r="B101" s="140" t="s">
        <v>360</v>
      </c>
      <c r="C101" s="129"/>
      <c r="D101" s="130"/>
      <c r="E101" s="141"/>
      <c r="F101" s="129"/>
      <c r="G101" s="129"/>
      <c r="H101" s="129"/>
      <c r="I101" s="130"/>
      <c r="J101" s="106"/>
    </row>
    <row r="102" ht="52.5" customHeight="1">
      <c r="A102" s="142" t="s">
        <v>200</v>
      </c>
      <c r="B102" s="143" t="s">
        <v>361</v>
      </c>
      <c r="C102" s="129"/>
      <c r="D102" s="130"/>
      <c r="E102" s="144"/>
      <c r="F102" s="129"/>
      <c r="G102" s="129"/>
      <c r="H102" s="129"/>
      <c r="I102" s="130"/>
      <c r="J102" s="106"/>
    </row>
    <row r="103" ht="59.25" customHeight="1">
      <c r="A103" s="133" t="s">
        <v>362</v>
      </c>
      <c r="B103" s="134" t="s">
        <v>363</v>
      </c>
      <c r="C103" s="129"/>
      <c r="D103" s="130"/>
      <c r="E103" s="135"/>
      <c r="F103" s="129"/>
      <c r="G103" s="129"/>
      <c r="H103" s="129"/>
      <c r="I103" s="130"/>
      <c r="J103" s="106"/>
    </row>
    <row r="104" ht="45.0" customHeight="1">
      <c r="A104" s="145">
        <v>9.0</v>
      </c>
      <c r="B104" s="146" t="s">
        <v>364</v>
      </c>
      <c r="C104" s="129"/>
      <c r="D104" s="130"/>
      <c r="E104" s="147"/>
      <c r="F104" s="129"/>
      <c r="G104" s="129"/>
      <c r="H104" s="129"/>
      <c r="I104" s="130"/>
      <c r="J104" s="106"/>
    </row>
    <row r="105" ht="15.75" customHeight="1">
      <c r="A105" s="2"/>
      <c r="B105" s="2"/>
      <c r="C105" s="2"/>
      <c r="D105" s="2"/>
      <c r="E105" s="2"/>
      <c r="F105" s="2"/>
      <c r="G105" s="2"/>
      <c r="H105" s="2"/>
      <c r="I105" s="2"/>
      <c r="J105" s="2"/>
    </row>
    <row r="106" ht="15.75" customHeight="1">
      <c r="A106" s="2"/>
      <c r="B106" s="2"/>
      <c r="C106" s="2"/>
      <c r="D106" s="2"/>
      <c r="E106" s="2"/>
      <c r="F106" s="2"/>
      <c r="G106" s="2"/>
      <c r="H106" s="2"/>
      <c r="I106" s="2"/>
      <c r="J106" s="2"/>
    </row>
    <row r="107" ht="15.75" customHeight="1">
      <c r="A107" s="2"/>
      <c r="B107" s="2"/>
      <c r="C107" s="2"/>
      <c r="D107" s="2"/>
      <c r="E107" s="2"/>
      <c r="F107" s="2"/>
      <c r="G107" s="2"/>
      <c r="H107" s="2"/>
      <c r="I107" s="2"/>
      <c r="J107" s="2"/>
    </row>
    <row r="108" ht="15.75" customHeight="1">
      <c r="A108" s="2"/>
      <c r="B108" s="2"/>
      <c r="C108" s="2"/>
      <c r="D108" s="2"/>
      <c r="E108" s="2"/>
      <c r="F108" s="2"/>
      <c r="G108" s="2"/>
      <c r="H108" s="2"/>
      <c r="I108" s="2"/>
      <c r="J108" s="2"/>
    </row>
    <row r="109" ht="15.75" customHeight="1">
      <c r="A109" s="2"/>
      <c r="B109" s="2"/>
      <c r="C109" s="2"/>
      <c r="D109" s="2"/>
      <c r="E109" s="2"/>
      <c r="F109" s="2"/>
      <c r="G109" s="2"/>
      <c r="H109" s="2"/>
      <c r="I109" s="2"/>
      <c r="J109" s="2"/>
    </row>
    <row r="110" ht="15.75" customHeight="1">
      <c r="A110" s="2"/>
      <c r="B110" s="2"/>
      <c r="C110" s="2"/>
      <c r="D110" s="2"/>
      <c r="E110" s="2"/>
      <c r="F110" s="2"/>
      <c r="G110" s="2"/>
      <c r="H110" s="2"/>
      <c r="I110" s="2"/>
      <c r="J110" s="2"/>
    </row>
    <row r="111" ht="15.75" customHeight="1">
      <c r="A111" s="2"/>
      <c r="B111" s="2"/>
      <c r="C111" s="2"/>
      <c r="D111" s="2"/>
      <c r="E111" s="2"/>
      <c r="F111" s="2"/>
      <c r="G111" s="2"/>
      <c r="H111" s="2"/>
      <c r="I111" s="2"/>
      <c r="J111" s="2"/>
    </row>
    <row r="112" ht="15.75" customHeight="1">
      <c r="A112" s="2"/>
      <c r="B112" s="2"/>
      <c r="C112" s="2"/>
      <c r="D112" s="2"/>
      <c r="E112" s="2"/>
      <c r="F112" s="2"/>
      <c r="G112" s="2"/>
      <c r="H112" s="2"/>
      <c r="I112" s="2"/>
      <c r="J112" s="2"/>
    </row>
    <row r="113" ht="15.75" customHeight="1">
      <c r="A113" s="2"/>
      <c r="B113" s="2"/>
      <c r="C113" s="2"/>
      <c r="D113" s="2"/>
      <c r="E113" s="2"/>
      <c r="F113" s="2"/>
      <c r="G113" s="2"/>
      <c r="H113" s="2"/>
      <c r="I113" s="2"/>
      <c r="J113" s="2"/>
    </row>
    <row r="114" ht="15.75" customHeight="1">
      <c r="A114" s="2"/>
      <c r="B114" s="2"/>
      <c r="C114" s="2"/>
      <c r="D114" s="2"/>
      <c r="E114" s="2"/>
      <c r="F114" s="2"/>
      <c r="G114" s="2"/>
      <c r="H114" s="2"/>
      <c r="I114" s="2"/>
      <c r="J114" s="2"/>
    </row>
    <row r="115" ht="15.75" customHeight="1">
      <c r="A115" s="2"/>
      <c r="B115" s="2"/>
      <c r="C115" s="2"/>
      <c r="D115" s="2"/>
      <c r="E115" s="2"/>
      <c r="F115" s="2"/>
      <c r="G115" s="2"/>
      <c r="H115" s="2"/>
      <c r="I115" s="2"/>
      <c r="J115" s="2"/>
    </row>
    <row r="116" ht="15.75" customHeight="1">
      <c r="A116" s="2"/>
      <c r="B116" s="2"/>
      <c r="C116" s="2"/>
      <c r="D116" s="2"/>
      <c r="E116" s="2"/>
      <c r="F116" s="2"/>
      <c r="G116" s="2"/>
      <c r="H116" s="2"/>
      <c r="I116" s="2"/>
      <c r="J116" s="2"/>
    </row>
    <row r="117" ht="15.75" customHeight="1">
      <c r="A117" s="2"/>
      <c r="B117" s="2"/>
      <c r="C117" s="2"/>
      <c r="D117" s="2"/>
      <c r="E117" s="2"/>
      <c r="F117" s="2"/>
      <c r="G117" s="2"/>
      <c r="H117" s="2"/>
      <c r="I117" s="2"/>
      <c r="J117" s="2"/>
    </row>
    <row r="118" ht="15.75" customHeight="1">
      <c r="A118" s="2"/>
      <c r="B118" s="2"/>
      <c r="C118" s="2"/>
      <c r="D118" s="2"/>
      <c r="E118" s="2"/>
      <c r="F118" s="2"/>
      <c r="G118" s="2"/>
      <c r="H118" s="2"/>
      <c r="I118" s="2"/>
      <c r="J118" s="2"/>
    </row>
    <row r="119" ht="15.75" customHeight="1">
      <c r="A119" s="2"/>
      <c r="B119" s="2"/>
      <c r="C119" s="2"/>
      <c r="D119" s="2"/>
      <c r="E119" s="2"/>
      <c r="F119" s="2"/>
      <c r="G119" s="2"/>
      <c r="H119" s="2"/>
      <c r="I119" s="2"/>
      <c r="J119" s="2"/>
    </row>
    <row r="120" ht="15.75" customHeight="1">
      <c r="A120" s="2"/>
      <c r="B120" s="2"/>
      <c r="C120" s="2"/>
      <c r="D120" s="2"/>
      <c r="E120" s="2"/>
      <c r="F120" s="2"/>
      <c r="G120" s="2"/>
      <c r="H120" s="2"/>
      <c r="I120" s="2"/>
      <c r="J120" s="2"/>
    </row>
    <row r="121" ht="15.75" customHeight="1">
      <c r="A121" s="2"/>
      <c r="B121" s="2"/>
      <c r="C121" s="2"/>
      <c r="D121" s="2"/>
      <c r="E121" s="2"/>
      <c r="F121" s="2"/>
      <c r="G121" s="2"/>
      <c r="H121" s="2"/>
      <c r="I121" s="2"/>
      <c r="J121" s="2"/>
    </row>
    <row r="122" ht="15.75" customHeight="1">
      <c r="A122" s="2"/>
      <c r="B122" s="2"/>
      <c r="C122" s="2"/>
      <c r="D122" s="2"/>
      <c r="E122" s="2"/>
      <c r="F122" s="2"/>
      <c r="G122" s="2"/>
      <c r="H122" s="2"/>
      <c r="I122" s="2"/>
      <c r="J122" s="2"/>
    </row>
    <row r="123" ht="15.75" customHeight="1">
      <c r="A123" s="2"/>
      <c r="B123" s="2"/>
      <c r="C123" s="2"/>
      <c r="D123" s="2"/>
      <c r="E123" s="2"/>
      <c r="F123" s="2"/>
      <c r="G123" s="2"/>
      <c r="H123" s="2"/>
      <c r="I123" s="2"/>
      <c r="J123" s="2"/>
    </row>
    <row r="124" ht="15.75" customHeight="1">
      <c r="A124" s="2"/>
      <c r="B124" s="2"/>
      <c r="C124" s="2"/>
      <c r="D124" s="2"/>
      <c r="E124" s="2"/>
      <c r="F124" s="2"/>
      <c r="G124" s="2"/>
      <c r="H124" s="2"/>
      <c r="I124" s="2"/>
      <c r="J124" s="2"/>
    </row>
    <row r="125" ht="15.75" customHeight="1">
      <c r="A125" s="2"/>
      <c r="B125" s="2"/>
      <c r="C125" s="2"/>
      <c r="D125" s="2"/>
      <c r="E125" s="2"/>
      <c r="F125" s="2"/>
      <c r="G125" s="2"/>
      <c r="H125" s="2"/>
      <c r="I125" s="2"/>
      <c r="J125" s="2"/>
    </row>
    <row r="126" ht="15.75" customHeight="1">
      <c r="A126" s="2"/>
      <c r="B126" s="2"/>
      <c r="C126" s="2"/>
      <c r="D126" s="2"/>
      <c r="E126" s="2"/>
      <c r="F126" s="2"/>
      <c r="G126" s="2"/>
      <c r="H126" s="2"/>
      <c r="I126" s="2"/>
      <c r="J126" s="2"/>
    </row>
    <row r="127" ht="15.75" customHeight="1">
      <c r="A127" s="2"/>
      <c r="B127" s="2"/>
      <c r="C127" s="2"/>
      <c r="D127" s="2"/>
      <c r="E127" s="2"/>
      <c r="F127" s="2"/>
      <c r="G127" s="2"/>
      <c r="H127" s="2"/>
      <c r="I127" s="2"/>
      <c r="J127" s="2"/>
    </row>
    <row r="128" ht="15.75" customHeight="1">
      <c r="A128" s="2"/>
      <c r="B128" s="2"/>
      <c r="C128" s="2"/>
      <c r="D128" s="2"/>
      <c r="E128" s="2"/>
      <c r="F128" s="2"/>
      <c r="G128" s="2"/>
      <c r="H128" s="2"/>
      <c r="I128" s="2"/>
      <c r="J128" s="2"/>
    </row>
    <row r="129" ht="15.75" customHeight="1">
      <c r="A129" s="2"/>
      <c r="B129" s="2"/>
      <c r="C129" s="2"/>
      <c r="D129" s="2"/>
      <c r="E129" s="2"/>
      <c r="F129" s="2"/>
      <c r="G129" s="2"/>
      <c r="H129" s="2"/>
      <c r="I129" s="2"/>
      <c r="J129" s="2"/>
    </row>
    <row r="130" ht="15.75" customHeight="1">
      <c r="A130" s="2"/>
      <c r="B130" s="2"/>
      <c r="C130" s="2"/>
      <c r="D130" s="2"/>
      <c r="E130" s="2"/>
      <c r="F130" s="2"/>
      <c r="G130" s="2"/>
      <c r="H130" s="2"/>
      <c r="I130" s="2"/>
      <c r="J130" s="2"/>
    </row>
    <row r="131" ht="15.75" customHeight="1">
      <c r="A131" s="2"/>
      <c r="B131" s="2"/>
      <c r="C131" s="2"/>
      <c r="D131" s="2"/>
      <c r="E131" s="2"/>
      <c r="F131" s="2"/>
      <c r="G131" s="2"/>
      <c r="H131" s="2"/>
      <c r="I131" s="2"/>
      <c r="J131" s="2"/>
    </row>
    <row r="132" ht="15.75" customHeight="1">
      <c r="A132" s="2"/>
      <c r="B132" s="2"/>
      <c r="C132" s="2"/>
      <c r="D132" s="2"/>
      <c r="E132" s="2"/>
      <c r="F132" s="2"/>
      <c r="G132" s="2"/>
      <c r="H132" s="2"/>
      <c r="I132" s="2"/>
      <c r="J132" s="2"/>
    </row>
    <row r="133" ht="15.75" customHeight="1">
      <c r="A133" s="2"/>
      <c r="B133" s="2"/>
      <c r="C133" s="2"/>
      <c r="D133" s="2"/>
      <c r="E133" s="2"/>
      <c r="F133" s="2"/>
      <c r="G133" s="2"/>
      <c r="H133" s="2"/>
      <c r="I133" s="2"/>
      <c r="J133" s="2"/>
    </row>
    <row r="134" ht="15.75" customHeight="1">
      <c r="A134" s="2"/>
      <c r="B134" s="2"/>
      <c r="C134" s="2"/>
      <c r="D134" s="2"/>
      <c r="E134" s="2"/>
      <c r="F134" s="2"/>
      <c r="G134" s="2"/>
      <c r="H134" s="2"/>
      <c r="I134" s="2"/>
      <c r="J134" s="2"/>
    </row>
    <row r="135" ht="15.75" customHeight="1">
      <c r="A135" s="2"/>
      <c r="B135" s="2"/>
      <c r="C135" s="2"/>
      <c r="D135" s="2"/>
      <c r="E135" s="2"/>
      <c r="F135" s="2"/>
      <c r="G135" s="2"/>
      <c r="H135" s="2"/>
      <c r="I135" s="2"/>
      <c r="J135" s="2"/>
    </row>
    <row r="136" ht="15.75" customHeight="1">
      <c r="A136" s="2"/>
      <c r="B136" s="2"/>
      <c r="C136" s="2"/>
      <c r="D136" s="2"/>
      <c r="E136" s="2"/>
      <c r="F136" s="2"/>
      <c r="G136" s="2"/>
      <c r="H136" s="2"/>
      <c r="I136" s="2"/>
      <c r="J136" s="2"/>
    </row>
    <row r="137" ht="15.75" customHeight="1">
      <c r="A137" s="2"/>
      <c r="B137" s="2"/>
      <c r="C137" s="2"/>
      <c r="D137" s="2"/>
      <c r="E137" s="2"/>
      <c r="F137" s="2"/>
      <c r="G137" s="2"/>
      <c r="H137" s="2"/>
      <c r="I137" s="2"/>
      <c r="J137" s="2"/>
    </row>
    <row r="138" ht="15.75" customHeight="1">
      <c r="A138" s="2"/>
      <c r="B138" s="2"/>
      <c r="C138" s="2"/>
      <c r="D138" s="2"/>
      <c r="E138" s="2"/>
      <c r="F138" s="2"/>
      <c r="G138" s="2"/>
      <c r="H138" s="2"/>
      <c r="I138" s="2"/>
      <c r="J138" s="2"/>
    </row>
    <row r="139" ht="15.75" customHeight="1">
      <c r="A139" s="2"/>
      <c r="B139" s="2"/>
      <c r="C139" s="2"/>
      <c r="D139" s="2"/>
      <c r="E139" s="2"/>
      <c r="F139" s="2"/>
      <c r="G139" s="2"/>
      <c r="H139" s="2"/>
      <c r="I139" s="2"/>
      <c r="J139" s="2"/>
    </row>
    <row r="140" ht="15.75" customHeight="1">
      <c r="A140" s="2"/>
      <c r="B140" s="2"/>
      <c r="C140" s="2"/>
      <c r="D140" s="2"/>
      <c r="E140" s="2"/>
      <c r="F140" s="2"/>
      <c r="G140" s="2"/>
      <c r="H140" s="2"/>
      <c r="I140" s="2"/>
      <c r="J140" s="2"/>
    </row>
    <row r="141" ht="15.75" customHeight="1">
      <c r="A141" s="2"/>
      <c r="B141" s="2"/>
      <c r="C141" s="2"/>
      <c r="D141" s="2"/>
      <c r="E141" s="2"/>
      <c r="F141" s="2"/>
      <c r="G141" s="2"/>
      <c r="H141" s="2"/>
      <c r="I141" s="2"/>
      <c r="J141" s="2"/>
    </row>
    <row r="142" ht="15.75" customHeight="1">
      <c r="A142" s="2"/>
      <c r="B142" s="2"/>
      <c r="C142" s="2"/>
      <c r="D142" s="2"/>
      <c r="E142" s="2"/>
      <c r="F142" s="2"/>
      <c r="G142" s="2"/>
      <c r="H142" s="2"/>
      <c r="I142" s="2"/>
      <c r="J142" s="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sheetData>
  <mergeCells count="20">
    <mergeCell ref="B98:D98"/>
    <mergeCell ref="B99:D99"/>
    <mergeCell ref="B100:D100"/>
    <mergeCell ref="B101:D101"/>
    <mergeCell ref="B102:D102"/>
    <mergeCell ref="B103:D103"/>
    <mergeCell ref="B104:D104"/>
    <mergeCell ref="E99:I99"/>
    <mergeCell ref="E100:I100"/>
    <mergeCell ref="E101:I101"/>
    <mergeCell ref="E102:I102"/>
    <mergeCell ref="E103:I103"/>
    <mergeCell ref="E104:I104"/>
    <mergeCell ref="A14:J14"/>
    <mergeCell ref="A24:J24"/>
    <mergeCell ref="A53:J53"/>
    <mergeCell ref="A66:J66"/>
    <mergeCell ref="B97:D97"/>
    <mergeCell ref="E97:I97"/>
    <mergeCell ref="E98:I9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sheetViews>
    <sheetView workbookViewId="0" showGridLines="0"/>
  </sheetViews>
  <sheetFormatPr defaultRowHeight="15"/>
  <cols>
    <col min="1" max="1" width="30" customWidth="1"/>
    <col min="2" max="2" width="20" customWidth="1"/>
    <col min="3" max="3" width="15" customWidth="1"/>
    <col min="4" max="4" width="15" customWidth="1"/>
    <col min="5" max="5" width="15" customWidth="1"/>
    <col min="6" max="6" width="15" customWidth="1"/>
    <col min="7" max="7" width="15" customWidth="1"/>
    <col min="8" max="8" width="62" customWidth="1"/>
  </cols>
  <sheetData>
    <row r="1" ht="24" customHeight="1">
      <c r="A1" s="148" t="inlineStr">
        <is>
          <t xml:space="preserve">KẾT QUẢ KAT-VAD v2</t>
        </is>
      </c>
    </row>
    <row r="2" ht="41.0" customHeight="1">
      <c r="A2" s="152" t="inlineStr">
        <is>
          <t xml:space="preserve">Branch `v2` · tổng hợp 2026-10-19. Kết quả DoTA = 1,129 clip (DoTA-CAP dev 569 + eval 560, gộp làm một tập), đọc theo protocol B (stride 3, cả clip, nội suy điểm về frame gốc). macro = AUC trung bình theo clip (chỉ số chính; mọi clip đều có hai lớp); điểm của mỗi arm là trung bình 5 seed (2024–2028). CI 95 % của macro = cluster bootstrap theo video nguồn (176 nguồn, B = 10,000); Δ giữa hai arm = khoảng t ghép cặp qua 5 seed. Ô nền xanh = arm/kết luận được chấp nhận.</t>
        </is>
      </c>
    </row>
    <row r="3" ht="15.0" customHeight="1"/>
    <row r="4" ht="20" customHeight="1">
      <c r="A4" s="149" t="inlineStr">
        <is>
          <t xml:space="preserve">0. TÓM TẮT</t>
        </is>
      </c>
      <c r="B4" s="149"/>
      <c r="C4" s="149"/>
      <c r="D4" s="149"/>
      <c r="E4" s="149"/>
      <c r="F4" s="149"/>
      <c r="G4" s="149"/>
      <c r="H4" s="149"/>
    </row>
    <row r="5" ht="15.0" customHeight="1">
      <c r="A5" s="151" t="inlineStr">
        <is>
          <t xml:space="preserve">#</t>
        </is>
      </c>
      <c r="B5" s="151" t="inlineStr">
        <is>
          <t xml:space="preserve">Kết luận</t>
        </is>
      </c>
    </row>
    <row r="6" ht="28.0" customHeight="1">
      <c r="A6" s="164">
        <v>1</v>
      </c>
      <c r="B6" s="163" t="inlineStr">
        <is>
          <t xml:space="preserve">Mô hình cuối của v2 = A3-ign: trunk LaGoVAD + CRN (chuẩn hoá theo tham chiếu của chính clip) + luồng video VideoMAE V2-S đóng băng (residual khởi tạo 0), huấn luyện với loss.dvs_anchor_mode=ignore. Không KIP, không RAFT, không loss mới; tham số mới duy nhất là W_u (≈ 0.20 M).</t>
        </is>
      </c>
      <c r="C6" s="163"/>
      <c r="D6" s="163"/>
      <c r="E6" s="163"/>
      <c r="F6" s="163"/>
      <c r="G6" s="163"/>
      <c r="H6" s="163"/>
    </row>
    <row r="7" ht="15.0" customHeight="1">
      <c r="A7" s="164">
        <v>2</v>
      </c>
      <c r="B7" s="163" t="inlineStr">
        <is>
          <t xml:space="preserve">DoTA (1,129 clip): A3-ign macro 0.8015 [0.790, 0.813] so với baseline A0 0.6873: Δ +0.126 [+0.0968, +0.1561], dương 5/5 seed.</t>
        </is>
      </c>
      <c r="C7" s="163"/>
      <c r="D7" s="163"/>
      <c r="E7" s="163"/>
      <c r="F7" s="163"/>
      <c r="G7" s="163"/>
      <c r="H7" s="163"/>
    </row>
    <row r="8" ht="28.0" customHeight="1">
      <c r="A8" s="164">
        <v>3</v>
      </c>
      <c r="B8" s="163" t="inlineStr">
        <is>
          <t xml:space="preserve">Luồng video là thành phần mang lợi ích: A3 − A0 +0.088 [+0.0615, +0.1140], A3 − A1 (thêm luồng video trên nền CRN) +0.098 [+0.0889, +0.1072], đều 5/5 seed.</t>
        </is>
      </c>
      <c r="C8" s="163"/>
      <c r="D8" s="163"/>
      <c r="E8" s="163"/>
      <c r="F8" s="163"/>
      <c r="G8" s="163"/>
      <c r="H8" s="163"/>
    </row>
    <row r="9" ht="28.0" customHeight="1">
      <c r="A9" s="164">
        <v>4</v>
      </c>
      <c r="B9" s="163" t="inlineStr">
        <is>
          <t xml:space="preserve">Bỏ nhãn DVS toàn anchor (A3 → A3-ign) thêm +0.0387 [+0.0338, +0.0436] trên DoTA, 5/5 seed, và +0.025 macro in-domain trên T2-test; chỉ đổi một cờ huấn luyện.</t>
        </is>
      </c>
      <c r="C9" s="163"/>
      <c r="D9" s="163"/>
      <c r="E9" s="163"/>
      <c r="F9" s="163"/>
      <c r="G9" s="163"/>
      <c r="H9" s="163"/>
    </row>
    <row r="10" ht="28.0" customHeight="1">
      <c r="A10" s="154">
        <v>5</v>
      </c>
      <c r="B10" s="153" t="inlineStr">
        <is>
          <t xml:space="preserve">CRN một mình không cải thiện DoTA (A1 − A0 −0.010 [−0.0344, +0.0138], chứa 0), nhưng nó xoá shortcut nhận diện corpus T2↔DoTA trong biểu diễn (0.9999 → 0.55) và được giữ trong A3/A3-ign.</t>
        </is>
      </c>
      <c r="C10" s="153"/>
      <c r="D10" s="153"/>
      <c r="E10" s="153"/>
      <c r="F10" s="153"/>
      <c r="G10" s="153"/>
      <c r="H10" s="153"/>
    </row>
    <row r="11" ht="28.0" customHeight="1">
      <c r="A11" s="154">
        <v>6</v>
      </c>
      <c r="B11" s="153" t="inlineStr">
        <is>
          <t xml:space="preserve">Luồng video không được gọi là "chuyển động": xáo thứ tự 16 frame trong mỗi window gần như không đổi kết quả (±0.0004). Nó là một bộ mã hoá ngoại hình thứ hai, dựa trên video.</t>
        </is>
      </c>
      <c r="C11" s="153"/>
      <c r="D11" s="153"/>
      <c r="E11" s="153"/>
      <c r="F11" s="153"/>
      <c r="G11" s="153"/>
      <c r="H11" s="153"/>
    </row>
    <row r="12" ht="28.0" customHeight="1">
      <c r="A12" s="154">
        <v>7</v>
      </c>
      <c r="B12" s="153" t="inlineStr">
        <is>
          <t xml:space="preserve">Điểm yếu còn lại: tai nạn non-ego (xe khác va chạm) 0.745 so với ego 0.847 (A3-ign); điểm số tập trung quanh thời điểm va chạm hơn là phủ cả đoạn bất thường.</t>
        </is>
      </c>
      <c r="C12" s="153"/>
      <c r="D12" s="153"/>
      <c r="E12" s="153"/>
      <c r="F12" s="153"/>
      <c r="G12" s="153"/>
      <c r="H12" s="153"/>
    </row>
    <row r="13" ht="15.0" customHeight="1"/>
    <row r="14" ht="20" customHeight="1">
      <c r="A14" s="149" t="inlineStr">
        <is>
          <t xml:space="preserve">1. MÔ HÌNH v2 VÀ CÁC ARM</t>
        </is>
      </c>
      <c r="B14" s="149"/>
      <c r="C14" s="149"/>
      <c r="D14" s="149"/>
      <c r="E14" s="149"/>
      <c r="F14" s="149"/>
      <c r="G14" s="149"/>
      <c r="H14" s="149"/>
    </row>
    <row r="15" ht="28.0" customHeight="1">
      <c r="A15" s="152" t="inlineStr">
        <is>
          <t xml:space="preserve">frame → CLIP ViT-B/16 (đóng băng) → x → CRN → x̃ ; clip nhân quả 16 frame (1.5 s) → VideoMAE V2-S (đóng băng) → u → CRN → c·u/σ_u → W_u (khởi tạo 0) → cộng vào h → temporal encoder (2 lớp, RoPE) → CoAttn(V^t, z) → H_bin → y^bin, H_mul → y^mul.</t>
        </is>
      </c>
    </row>
    <row r="16" ht="28.0" customHeight="1">
      <c r="A16" s="151" t="inlineStr">
        <is>
          <t xml:space="preserve">Arm</t>
        </is>
      </c>
      <c r="B16" s="151" t="inlineStr">
        <is>
          <t xml:space="preserve">CRN (R2, median theo clip)</t>
        </is>
      </c>
      <c r="C16" s="151" t="inlineStr">
        <is>
          <t xml:space="preserve">Luồng video V2-S (384-d)</t>
        </is>
      </c>
      <c r="D16" s="151" t="inlineStr">
        <is>
          <t xml:space="preserve">dvs_anchor_mode</t>
        </is>
      </c>
      <c r="E16" s="151"/>
      <c r="F16" s="151"/>
      <c r="G16" s="151"/>
      <c r="H16" s="151" t="inlineStr">
        <is>
          <t xml:space="preserve">Ghi chú</t>
        </is>
      </c>
    </row>
    <row r="17" ht="15.0" customHeight="1">
      <c r="A17" s="153" t="inlineStr">
        <is>
          <t xml:space="preserve">A0</t>
        </is>
      </c>
      <c r="B17" s="155" t="inlineStr">
        <is>
          <t xml:space="preserve">–</t>
        </is>
      </c>
      <c r="C17" s="155" t="inlineStr">
        <is>
          <t xml:space="preserve">–</t>
        </is>
      </c>
      <c r="D17" s="155" t="inlineStr">
        <is>
          <t xml:space="preserve">span</t>
        </is>
      </c>
      <c r="E17" s="153"/>
      <c r="F17" s="153"/>
      <c r="G17" s="153"/>
      <c r="H17" s="153" t="inlineStr">
        <is>
          <t xml:space="preserve">Baseline (= LaGoVAD trên T2, KIP-off)</t>
        </is>
      </c>
    </row>
    <row r="18" ht="15.0" customHeight="1">
      <c r="A18" s="153" t="inlineStr">
        <is>
          <t xml:space="preserve">A1</t>
        </is>
      </c>
      <c r="B18" s="155" t="inlineStr">
        <is>
          <t xml:space="preserve">✓</t>
        </is>
      </c>
      <c r="C18" s="155" t="inlineStr">
        <is>
          <t xml:space="preserve">–</t>
        </is>
      </c>
      <c r="D18" s="155" t="inlineStr">
        <is>
          <t xml:space="preserve">span</t>
        </is>
      </c>
      <c r="E18" s="153"/>
      <c r="F18" s="153"/>
      <c r="G18" s="153"/>
      <c r="H18" s="153" t="inlineStr">
        <is>
          <t xml:space="preserve">Chỉ CRN</t>
        </is>
      </c>
    </row>
    <row r="19" ht="15.0" customHeight="1">
      <c r="A19" s="153" t="inlineStr">
        <is>
          <t xml:space="preserve">A2</t>
        </is>
      </c>
      <c r="B19" s="155" t="inlineStr">
        <is>
          <t xml:space="preserve">–</t>
        </is>
      </c>
      <c r="C19" s="155" t="inlineStr">
        <is>
          <t xml:space="preserve">✓</t>
        </is>
      </c>
      <c r="D19" s="155" t="inlineStr">
        <is>
          <t xml:space="preserve">span</t>
        </is>
      </c>
      <c r="E19" s="153"/>
      <c r="F19" s="153"/>
      <c r="G19" s="153"/>
      <c r="H19" s="153" t="inlineStr">
        <is>
          <t xml:space="preserve">Chỉ luồng video</t>
        </is>
      </c>
    </row>
    <row r="20" ht="15.0" customHeight="1">
      <c r="A20" s="153" t="inlineStr">
        <is>
          <t xml:space="preserve">A3</t>
        </is>
      </c>
      <c r="B20" s="155" t="inlineStr">
        <is>
          <t xml:space="preserve">✓</t>
        </is>
      </c>
      <c r="C20" s="155" t="inlineStr">
        <is>
          <t xml:space="preserve">✓</t>
        </is>
      </c>
      <c r="D20" s="155" t="inlineStr">
        <is>
          <t xml:space="preserve">span</t>
        </is>
      </c>
      <c r="E20" s="153"/>
      <c r="F20" s="153"/>
      <c r="G20" s="153"/>
      <c r="H20" s="153" t="inlineStr">
        <is>
          <t xml:space="preserve">CRN + luồng video</t>
        </is>
      </c>
    </row>
    <row r="21" ht="15.0" customHeight="1">
      <c r="A21" s="163" t="inlineStr">
        <is>
          <t xml:space="preserve">A3-ign</t>
        </is>
      </c>
      <c r="B21" s="165" t="inlineStr">
        <is>
          <t xml:space="preserve">✓</t>
        </is>
      </c>
      <c r="C21" s="165" t="inlineStr">
        <is>
          <t xml:space="preserve">✓</t>
        </is>
      </c>
      <c r="D21" s="165" t="inlineStr">
        <is>
          <t xml:space="preserve">ignore</t>
        </is>
      </c>
      <c r="E21" s="163"/>
      <c r="F21" s="163"/>
      <c r="G21" s="163"/>
      <c r="H21" s="163" t="inlineStr">
        <is>
          <t xml:space="preserve">A3 + loss.dvs_anchor_mode=ignore — MÔ HÌNH CUỐI CỦA v2</t>
        </is>
      </c>
    </row>
    <row r="22" ht="28.0" customHeight="1">
      <c r="A22" s="152" t="inlineStr">
        <is>
          <t xml:space="preserve">Huấn luyện: T2 (DADA-2000 bản gốc; window W=20, hop 8; negative cắt từ chính video tai nạn) trừ T2-val. 20 epoch, 1740 bước, 5 seed. Loss đang chạy: L_MIL, L_mul-MIL, L_dvs (mặc định của LaGoVAD: θ 0.7, δ_m 5, 50 % KNN filler). L_neg TẮT (captions_from_definitions=false) → "loss giữ nguyên LaGoVAD" phải đọc là "loss của LaGoVAD trừ L_neg".</t>
        </is>
      </c>
    </row>
    <row r="23" ht="15.0" customHeight="1"/>
    <row r="24" ht="20" customHeight="1">
      <c r="A24" s="149" t="inlineStr">
        <is>
          <t xml:space="preserve">2. DỮ LIỆU VÀ PROTOCOL</t>
        </is>
      </c>
      <c r="B24" s="149"/>
      <c r="C24" s="149"/>
      <c r="D24" s="149"/>
      <c r="E24" s="149"/>
      <c r="F24" s="149"/>
      <c r="G24" s="149"/>
      <c r="H24" s="149"/>
    </row>
    <row r="25" ht="15.0" customHeight="1">
      <c r="A25" s="151" t="inlineStr">
        <is>
          <t xml:space="preserve">Tập</t>
        </is>
      </c>
      <c r="B25" s="151" t="inlineStr">
        <is>
          <t xml:space="preserve">Kích thước</t>
        </is>
      </c>
      <c r="C25" s="151"/>
      <c r="D25" s="151"/>
      <c r="E25" s="151"/>
      <c r="F25" s="151"/>
      <c r="G25" s="151"/>
      <c r="H25" s="151" t="inlineStr">
        <is>
          <t xml:space="preserve">Vai trò</t>
        </is>
      </c>
    </row>
    <row r="26" ht="15.0" customHeight="1">
      <c r="A26" s="153" t="inlineStr">
        <is>
          <t xml:space="preserve">T2-train − T2-val</t>
        </is>
      </c>
      <c r="B26" s="153" t="inlineStr">
        <is>
          <t xml:space="preserve">1,272 − 219 nguồn</t>
        </is>
      </c>
      <c r="C26" s="153"/>
      <c r="D26" s="153"/>
      <c r="E26" s="153"/>
      <c r="F26" s="153"/>
      <c r="G26" s="153"/>
      <c r="H26" s="153" t="inlineStr">
        <is>
          <t xml:space="preserve">Huấn luyện</t>
        </is>
      </c>
    </row>
    <row r="27" ht="28.0" customHeight="1">
      <c r="A27" s="153" t="inlineStr">
        <is>
          <t xml:space="preserve">T2-val</t>
        </is>
      </c>
      <c r="B27" s="153" t="inlineStr">
        <is>
          <t xml:space="preserve">219 nguồn / 645 window</t>
        </is>
      </c>
      <c r="C27" s="153"/>
      <c r="D27" s="153"/>
      <c r="E27" s="153"/>
      <c r="F27" s="153"/>
      <c r="G27" s="153"/>
      <c r="H27" s="153" t="inlineStr">
        <is>
          <t xml:space="preserve">Guardrail khi huấn luyện</t>
        </is>
      </c>
    </row>
    <row r="28" ht="15.0" customHeight="1">
      <c r="A28" s="153" t="inlineStr">
        <is>
          <t xml:space="preserve">T2-test</t>
        </is>
      </c>
      <c r="B28" s="153" t="inlineStr">
        <is>
          <t xml:space="preserve">1,106 window</t>
        </is>
      </c>
      <c r="C28" s="153"/>
      <c r="D28" s="153"/>
      <c r="E28" s="153"/>
      <c r="F28" s="153"/>
      <c r="G28" s="153"/>
      <c r="H28" s="153" t="inlineStr">
        <is>
          <t xml:space="preserve">Kết quả in-domain (mục 4)</t>
        </is>
      </c>
    </row>
    <row r="29" ht="41.0" customHeight="1">
      <c r="A29" s="163" t="inlineStr">
        <is>
          <t xml:space="preserve">DoTA</t>
        </is>
      </c>
      <c r="B29" s="163" t="inlineStr">
        <is>
          <t xml:space="preserve">1,129 clip, 176 video nguồn</t>
        </is>
      </c>
      <c r="C29" s="163"/>
      <c r="D29" s="163"/>
      <c r="E29" s="163"/>
      <c r="F29" s="163"/>
      <c r="G29" s="163"/>
      <c r="H29" s="163" t="inlineStr">
        <is>
          <t xml:space="preserve">Kết quả chính, zero-shot (mục 3). = mọi clip DoTA có pixel (khôi phục từ CAP-DATA): 1,129 / 1,397 = 80.8 %. Mọi clip đều có cả frame bình thường và bất thường.</t>
        </is>
      </c>
    </row>
    <row r="30" ht="41.0" customHeight="1">
      <c r="A30" s="152" t="inlineStr">
        <is>
          <t xml:space="preserve">Protocol B: đặc trưng CLIP ở stride 3 (lấy từ cache stride 1), chấm cả clip, nội suy điểm về frame gốc. Pooling per-clip min-max cho micro/AP (DoTA gần như toàn clip bất thường). Gộp dev + eval: tập eval chưa từng được dùng để chọn gì và cho điểm bằng hoặc cao hơn dev ở MỌI arm (dev − eval từ −0.012 đến −0.026), nên số gộp không bị thổi phồng do chọn trên dev.</t>
        </is>
      </c>
    </row>
    <row r="31" ht="15.0" customHeight="1"/>
    <row r="32" ht="20" customHeight="1">
      <c r="A32" s="149" t="inlineStr">
        <is>
          <t xml:space="preserve">3. KẾT QUẢ TRÊN DoTA (1,129 clip, zero-shot)</t>
        </is>
      </c>
      <c r="B32" s="149"/>
      <c r="C32" s="149"/>
      <c r="D32" s="149"/>
      <c r="E32" s="149"/>
      <c r="F32" s="149"/>
      <c r="G32" s="149"/>
      <c r="H32" s="149"/>
    </row>
    <row r="33" ht="15.0" customHeight="1">
      <c r="A33" s="150" t="inlineStr">
        <is>
          <t xml:space="preserve">3.1 Theo arm (điểm trung bình 5 seed)</t>
        </is>
      </c>
    </row>
    <row r="34" ht="15.0" customHeight="1">
      <c r="A34" s="151" t="inlineStr">
        <is>
          <t xml:space="preserve">Arm</t>
        </is>
      </c>
      <c r="B34" s="151" t="inlineStr">
        <is>
          <t xml:space="preserve">macro AUC</t>
        </is>
      </c>
      <c r="C34" s="151" t="inlineStr">
        <is>
          <t xml:space="preserve">CI 95 %</t>
        </is>
      </c>
      <c r="D34" s="151" t="inlineStr">
        <is>
          <t xml:space="preserve">micro AUC</t>
        </is>
      </c>
      <c r="E34" s="151" t="inlineStr">
        <is>
          <t xml:space="preserve">AP</t>
        </is>
      </c>
      <c r="F34" s="151" t="inlineStr">
        <is>
          <t xml:space="preserve">Δ macro vs A0</t>
        </is>
      </c>
      <c r="G34" s="151"/>
      <c r="H34" s="151" t="inlineStr">
        <is>
          <t xml:space="preserve">Ghi chú</t>
        </is>
      </c>
    </row>
    <row r="35" ht="28.0" customHeight="1">
      <c r="A35" s="154" t="inlineStr">
        <is>
          <t xml:space="preserve">A0</t>
        </is>
      </c>
      <c r="B35" s="156">
        <v>0.687258</v>
      </c>
      <c r="C35" s="155" t="inlineStr">
        <is>
          <t xml:space="preserve">[0.671, 0.703]</t>
        </is>
      </c>
      <c r="D35" s="156">
        <v>0.639812</v>
      </c>
      <c r="E35" s="156">
        <v>0.438949</v>
      </c>
      <c r="F35" s="155" t="inlineStr">
        <is>
          <t xml:space="preserve">—</t>
        </is>
      </c>
      <c r="G35" s="155"/>
      <c r="H35" s="153" t="inlineStr">
        <is>
          <t xml:space="preserve">Baseline</t>
        </is>
      </c>
    </row>
    <row r="36" ht="28.0" customHeight="1">
      <c r="A36" s="154" t="inlineStr">
        <is>
          <t xml:space="preserve">A1</t>
        </is>
      </c>
      <c r="B36" s="156">
        <v>0.670479</v>
      </c>
      <c r="C36" s="155" t="inlineStr">
        <is>
          <t xml:space="preserve">[0.656, 0.685]</t>
        </is>
      </c>
      <c r="D36" s="156">
        <v>0.643807</v>
      </c>
      <c r="E36" s="156">
        <v>0.432999</v>
      </c>
      <c r="F36" s="159">
        <f>B36-B$35</f>
        <v>-0.016779</v>
      </c>
      <c r="G36" s="155"/>
      <c r="H36" s="153"/>
    </row>
    <row r="37" ht="28.0" customHeight="1">
      <c r="A37" s="154" t="inlineStr">
        <is>
          <t xml:space="preserve">A2</t>
        </is>
      </c>
      <c r="B37" s="156">
        <v>0.759301</v>
      </c>
      <c r="C37" s="155" t="inlineStr">
        <is>
          <t xml:space="preserve">[0.745, 0.774]</t>
        </is>
      </c>
      <c r="D37" s="156">
        <v>0.706555</v>
      </c>
      <c r="E37" s="156">
        <v>0.51817</v>
      </c>
      <c r="F37" s="159">
        <f>B37-B$35</f>
        <v>0.072042</v>
      </c>
      <c r="G37" s="155"/>
      <c r="H37" s="153"/>
    </row>
    <row r="38" ht="28.0" customHeight="1">
      <c r="A38" s="154" t="inlineStr">
        <is>
          <t xml:space="preserve">A3</t>
        </is>
      </c>
      <c r="B38" s="156">
        <v>0.767969</v>
      </c>
      <c r="C38" s="155" t="inlineStr">
        <is>
          <t xml:space="preserve">[0.756, 0.779]</t>
        </is>
      </c>
      <c r="D38" s="156">
        <v>0.717226</v>
      </c>
      <c r="E38" s="156">
        <v>0.510374</v>
      </c>
      <c r="F38" s="159">
        <f>B38-B$35</f>
        <v>0.08071</v>
      </c>
      <c r="G38" s="155"/>
      <c r="H38" s="153"/>
    </row>
    <row r="39" ht="28.0" customHeight="1">
      <c r="A39" s="164" t="inlineStr">
        <is>
          <t xml:space="preserve">A3-ign</t>
        </is>
      </c>
      <c r="B39" s="166">
        <v>0.801519</v>
      </c>
      <c r="C39" s="165" t="inlineStr">
        <is>
          <t xml:space="preserve">[0.790, 0.813]</t>
        </is>
      </c>
      <c r="D39" s="166">
        <v>0.768773</v>
      </c>
      <c r="E39" s="166">
        <v>0.581329</v>
      </c>
      <c r="F39" s="169">
        <f>B39-B$35</f>
        <v>0.114261</v>
      </c>
      <c r="G39" s="165"/>
      <c r="H39" s="163" t="inlineStr">
        <is>
          <t xml:space="preserve">Mô hình cuối</t>
        </is>
      </c>
    </row>
    <row r="40" ht="15.0" customHeight="1">
      <c r="A40" s="152" t="inlineStr">
        <is>
          <t xml:space="preserve">Δ macro vs A0 ở bảng này tính bằng công thức từ cột macro. Khoảng tin cậy của Δ (ghép cặp theo seed) ở bảng 3.2.</t>
        </is>
      </c>
    </row>
    <row r="41" ht="15.0" customHeight="1"/>
    <row r="42" ht="15.0" customHeight="1">
      <c r="A42" s="150" t="inlineStr">
        <is>
          <t xml:space="preserve">3.2 Tương phản (paired t95 qua 5 seed)</t>
        </is>
      </c>
    </row>
    <row r="43" ht="28.0" customHeight="1">
      <c r="A43" s="151" t="inlineStr">
        <is>
          <t xml:space="preserve">Tương phản</t>
        </is>
      </c>
      <c r="B43" s="151" t="inlineStr">
        <is>
          <t xml:space="preserve">Δ macro</t>
        </is>
      </c>
      <c r="C43" s="151" t="inlineStr">
        <is>
          <t xml:space="preserve">t95</t>
        </is>
      </c>
      <c r="D43" s="151" t="inlineStr">
        <is>
          <t xml:space="preserve">Seed dương</t>
        </is>
      </c>
      <c r="E43" s="151" t="inlineStr">
        <is>
          <t xml:space="preserve">Theo seed (2024…2028)</t>
        </is>
      </c>
      <c r="F43" s="151"/>
      <c r="G43" s="151"/>
      <c r="H43" s="151" t="inlineStr">
        <is>
          <t xml:space="preserve">Kết luận</t>
        </is>
      </c>
    </row>
    <row r="44" ht="28.0" customHeight="1">
      <c r="A44" s="154" t="inlineStr">
        <is>
          <t xml:space="preserve">A1 − A0</t>
        </is>
      </c>
      <c r="B44" s="159">
        <v>-0.010281</v>
      </c>
      <c r="C44" s="155" t="inlineStr">
        <is>
          <t xml:space="preserve">[−0.0344, +0.0138]</t>
        </is>
      </c>
      <c r="D44" s="155" t="inlineStr">
        <is>
          <t xml:space="preserve">2/5</t>
        </is>
      </c>
      <c r="E44" s="155" t="inlineStr">
        <is>
          <t xml:space="preserve">+0.009 / −0.015 / +0.010 / −0.024 / −0.032</t>
        </is>
      </c>
      <c r="F44" s="155"/>
      <c r="G44" s="155"/>
      <c r="H44" s="153" t="inlineStr">
        <is>
          <t xml:space="preserve">CRN một mình: chứa 0, không cải thiện DoTA</t>
        </is>
      </c>
    </row>
    <row r="45" ht="28.0" customHeight="1">
      <c r="A45" s="154" t="inlineStr">
        <is>
          <t xml:space="preserve">A2 − A0</t>
        </is>
      </c>
      <c r="B45" s="159">
        <v>0.089794</v>
      </c>
      <c r="C45" s="155" t="inlineStr">
        <is>
          <t xml:space="preserve">[+0.0544, +0.1252]</t>
        </is>
      </c>
      <c r="D45" s="155" t="inlineStr">
        <is>
          <t xml:space="preserve">5/5</t>
        </is>
      </c>
      <c r="E45" s="155" t="inlineStr">
        <is>
          <t xml:space="preserve">+0.110 / +0.061 / +0.128 / +0.082 / +0.068</t>
        </is>
      </c>
      <c r="F45" s="155"/>
      <c r="G45" s="155"/>
      <c r="H45" s="153" t="inlineStr">
        <is>
          <t xml:space="preserve">Luồng video một mình</t>
        </is>
      </c>
    </row>
    <row r="46" ht="28.0" customHeight="1">
      <c r="A46" s="164" t="inlineStr">
        <is>
          <t xml:space="preserve">A3 − A0</t>
        </is>
      </c>
      <c r="B46" s="169">
        <v>0.087752</v>
      </c>
      <c r="C46" s="165" t="inlineStr">
        <is>
          <t xml:space="preserve">[+0.0615, +0.1140]</t>
        </is>
      </c>
      <c r="D46" s="165" t="inlineStr">
        <is>
          <t xml:space="preserve">5/5</t>
        </is>
      </c>
      <c r="E46" s="165" t="inlineStr">
        <is>
          <t xml:space="preserve">+0.114 / +0.072 / +0.106 / +0.080 / +0.067</t>
        </is>
      </c>
      <c r="F46" s="165"/>
      <c r="G46" s="165"/>
      <c r="H46" s="163" t="inlineStr">
        <is>
          <t xml:space="preserve">CRN + luồng video so với baseline</t>
        </is>
      </c>
    </row>
    <row r="47" ht="28.0" customHeight="1">
      <c r="A47" s="164" t="inlineStr">
        <is>
          <t xml:space="preserve">A3 − A1</t>
        </is>
      </c>
      <c r="B47" s="169">
        <v>0.098033</v>
      </c>
      <c r="C47" s="165" t="inlineStr">
        <is>
          <t xml:space="preserve">[+0.0889, +0.1072]</t>
        </is>
      </c>
      <c r="D47" s="165" t="inlineStr">
        <is>
          <t xml:space="preserve">5/5</t>
        </is>
      </c>
      <c r="E47" s="165" t="inlineStr">
        <is>
          <t xml:space="preserve">+0.105 / +0.087 / +0.096 / +0.104 / +0.099</t>
        </is>
      </c>
      <c r="F47" s="165"/>
      <c r="G47" s="165"/>
      <c r="H47" s="163" t="inlineStr">
        <is>
          <t xml:space="preserve">Luồng video trên nền CRN</t>
        </is>
      </c>
    </row>
    <row r="48" ht="28.0" customHeight="1">
      <c r="A48" s="154" t="inlineStr">
        <is>
          <t xml:space="preserve">A2 − A1</t>
        </is>
      </c>
      <c r="B48" s="159">
        <v>0.100075</v>
      </c>
      <c r="C48" s="155" t="inlineStr">
        <is>
          <t xml:space="preserve">[+0.0812, +0.1189]</t>
        </is>
      </c>
      <c r="D48" s="155" t="inlineStr">
        <is>
          <t xml:space="preserve">5/5</t>
        </is>
      </c>
      <c r="E48" s="155" t="inlineStr">
        <is>
          <t xml:space="preserve">+0.101 / +0.076 / +0.117 / +0.106 / +0.100</t>
        </is>
      </c>
      <c r="F48" s="155"/>
      <c r="G48" s="155"/>
      <c r="H48" s="153"/>
    </row>
    <row r="49" ht="28.0" customHeight="1">
      <c r="A49" s="164" t="inlineStr">
        <is>
          <t xml:space="preserve">A3-ign − A3</t>
        </is>
      </c>
      <c r="B49" s="169">
        <v>0.038705</v>
      </c>
      <c r="C49" s="165" t="inlineStr">
        <is>
          <t xml:space="preserve">[+0.0338, +0.0436]</t>
        </is>
      </c>
      <c r="D49" s="165" t="inlineStr">
        <is>
          <t xml:space="preserve">5/5</t>
        </is>
      </c>
      <c r="E49" s="165" t="inlineStr">
        <is>
          <t xml:space="preserve">+0.042 / +0.041 / +0.041 / +0.033 / +0.036</t>
        </is>
      </c>
      <c r="F49" s="165"/>
      <c r="G49" s="165"/>
      <c r="H49" s="163" t="inlineStr">
        <is>
          <t xml:space="preserve">Bỏ nhãn DVS toàn anchor</t>
        </is>
      </c>
    </row>
    <row r="50" ht="28.0" customHeight="1">
      <c r="A50" s="164" t="inlineStr">
        <is>
          <t xml:space="preserve">A3-ign − A0</t>
        </is>
      </c>
      <c r="B50" s="169">
        <v>0.126456</v>
      </c>
      <c r="C50" s="165" t="inlineStr">
        <is>
          <t xml:space="preserve">[+0.0968, +0.1561]</t>
        </is>
      </c>
      <c r="D50" s="165" t="inlineStr">
        <is>
          <t xml:space="preserve">5/5</t>
        </is>
      </c>
      <c r="E50" s="165" t="inlineStr">
        <is>
          <t xml:space="preserve">+0.156 / +0.112 / +0.148 / +0.114 / +0.102</t>
        </is>
      </c>
      <c r="F50" s="165"/>
      <c r="G50" s="165"/>
      <c r="H50" s="163" t="inlineStr">
        <is>
          <t xml:space="preserve">Mô hình cuối so với baseline</t>
        </is>
      </c>
    </row>
    <row r="51" ht="15.0" customHeight="1"/>
    <row r="52" ht="20" customHeight="1">
      <c r="A52" s="149" t="inlineStr">
        <is>
          <t xml:space="preserve">4. KẾT QUẢ IN-DOMAIN: T2-test (1,106 window)</t>
        </is>
      </c>
      <c r="B52" s="149"/>
      <c r="C52" s="149"/>
      <c r="D52" s="149"/>
      <c r="E52" s="149"/>
      <c r="F52" s="149"/>
      <c r="G52" s="149"/>
      <c r="H52" s="149"/>
    </row>
    <row r="53" ht="15.0" customHeight="1">
      <c r="A53" s="151" t="inlineStr">
        <is>
          <t xml:space="preserve">Arm</t>
        </is>
      </c>
      <c r="B53" s="151" t="inlineStr">
        <is>
          <t xml:space="preserve">micro</t>
        </is>
      </c>
      <c r="C53" s="151" t="inlineStr">
        <is>
          <t xml:space="preserve">macro</t>
        </is>
      </c>
      <c r="D53" s="151" t="inlineStr">
        <is>
          <t xml:space="preserve">window AUC</t>
        </is>
      </c>
      <c r="E53" s="151" t="inlineStr">
        <is>
          <t xml:space="preserve">Δ macro</t>
        </is>
      </c>
      <c r="F53" s="151" t="inlineStr">
        <is>
          <t xml:space="preserve">t95</t>
        </is>
      </c>
      <c r="G53" s="151"/>
      <c r="H53" s="151" t="inlineStr">
        <is>
          <t xml:space="preserve">Ghi chú</t>
        </is>
      </c>
    </row>
    <row r="54" ht="15.0" customHeight="1">
      <c r="A54" s="154" t="inlineStr">
        <is>
          <t xml:space="preserve">A0</t>
        </is>
      </c>
      <c r="B54" s="156">
        <v>0.6228</v>
      </c>
      <c r="C54" s="156">
        <v>0.6307</v>
      </c>
      <c r="D54" s="157">
        <v>0.667</v>
      </c>
      <c r="E54" s="155" t="inlineStr">
        <is>
          <t xml:space="preserve">—</t>
        </is>
      </c>
      <c r="F54" s="155"/>
      <c r="G54" s="155"/>
      <c r="H54" s="153" t="inlineStr">
        <is>
          <t xml:space="preserve">Baseline</t>
        </is>
      </c>
    </row>
    <row r="55" ht="15.0" customHeight="1">
      <c r="A55" s="154" t="inlineStr">
        <is>
          <t xml:space="preserve">A1</t>
        </is>
      </c>
      <c r="B55" s="156">
        <v>0.6594</v>
      </c>
      <c r="C55" s="156">
        <v>0.6377</v>
      </c>
      <c r="D55" s="157">
        <v>0.716</v>
      </c>
      <c r="E55" s="160">
        <v>0.007</v>
      </c>
      <c r="F55" s="155" t="inlineStr">
        <is>
          <t xml:space="preserve">[+0.000, +0.014] vs A0</t>
        </is>
      </c>
      <c r="G55" s="155"/>
      <c r="H55" s="153"/>
    </row>
    <row r="56" ht="15.0" customHeight="1">
      <c r="A56" s="154" t="inlineStr">
        <is>
          <t xml:space="preserve">A2</t>
        </is>
      </c>
      <c r="B56" s="156">
        <v>0.7153</v>
      </c>
      <c r="C56" s="156">
        <v>0.708</v>
      </c>
      <c r="D56" s="157">
        <v>0.771</v>
      </c>
      <c r="E56" s="160">
        <v>0.077</v>
      </c>
      <c r="F56" s="155" t="inlineStr">
        <is>
          <t xml:space="preserve">[+0.063, +0.091] vs A0</t>
        </is>
      </c>
      <c r="G56" s="155"/>
      <c r="H56" s="153"/>
    </row>
    <row r="57" ht="15.0" customHeight="1">
      <c r="A57" s="154" t="inlineStr">
        <is>
          <t xml:space="preserve">A3</t>
        </is>
      </c>
      <c r="B57" s="156">
        <v>0.7095</v>
      </c>
      <c r="C57" s="156">
        <v>0.695</v>
      </c>
      <c r="D57" s="157">
        <v>0.771</v>
      </c>
      <c r="E57" s="160">
        <v>0.064</v>
      </c>
      <c r="F57" s="155" t="inlineStr">
        <is>
          <t xml:space="preserve">[+0.051, +0.078] vs A0</t>
        </is>
      </c>
      <c r="G57" s="155"/>
      <c r="H57" s="153" t="inlineStr">
        <is>
          <t xml:space="preserve">CRN có chi phí in-domain nhỏ (A2 &gt; A3 ≈ 0.013)</t>
        </is>
      </c>
    </row>
    <row r="58" ht="15.0" customHeight="1">
      <c r="A58" s="164" t="inlineStr">
        <is>
          <t xml:space="preserve">A3-ign</t>
        </is>
      </c>
      <c r="B58" s="166">
        <v>0.7334</v>
      </c>
      <c r="C58" s="166">
        <v>0.7202</v>
      </c>
      <c r="D58" s="166">
        <v>0.7714</v>
      </c>
      <c r="E58" s="169">
        <v>0.0252</v>
      </c>
      <c r="F58" s="165" t="inlineStr">
        <is>
          <t xml:space="preserve">[+0.017, +0.033] vs A3</t>
        </is>
      </c>
      <c r="G58" s="165"/>
      <c r="H58" s="163" t="inlineStr">
        <is>
          <t xml:space="preserve">Mô hình cuối: macro in-domain cao nhất trong mọi arm</t>
        </is>
      </c>
    </row>
    <row r="59" ht="15.0" customHeight="1">
      <c r="A59" s="152" t="inlineStr">
        <is>
          <t xml:space="preserve">Clip oracle của T2 = 0.7037. Mọi arm qua guardrail chống sập thành clip classifier (window AUC và macro cùng tăng, 5/5 seed).</t>
        </is>
      </c>
    </row>
    <row r="60" ht="15.0" customHeight="1"/>
    <row r="61" ht="20" customHeight="1">
      <c r="A61" s="149" t="inlineStr">
        <is>
          <t xml:space="preserve">5. PHÂN TÍCH THEO LOẠI TAI NẠN — DoTA (1,129 clip, macro trung bình 5 seed)</t>
        </is>
      </c>
      <c r="B61" s="149"/>
      <c r="C61" s="149"/>
      <c r="D61" s="149"/>
      <c r="E61" s="149"/>
      <c r="F61" s="149"/>
      <c r="G61" s="149"/>
      <c r="H61" s="149"/>
    </row>
    <row r="62" ht="15.0" customHeight="1">
      <c r="A62" s="151" t="inlineStr">
        <is>
          <t xml:space="preserve">Nhóm</t>
        </is>
      </c>
      <c r="B62" s="151" t="inlineStr">
        <is>
          <t xml:space="preserve">n</t>
        </is>
      </c>
      <c r="C62" s="151" t="inlineStr">
        <is>
          <t xml:space="preserve">A0</t>
        </is>
      </c>
      <c r="D62" s="151" t="inlineStr">
        <is>
          <t xml:space="preserve">A3</t>
        </is>
      </c>
      <c r="E62" s="151" t="inlineStr">
        <is>
          <t xml:space="preserve">A3-ign</t>
        </is>
      </c>
      <c r="F62" s="151" t="inlineStr">
        <is>
          <t xml:space="preserve">A3-ign − A0</t>
        </is>
      </c>
      <c r="G62" s="151"/>
      <c r="H62" s="151" t="inlineStr">
        <is>
          <t xml:space="preserve">Ghi chú</t>
        </is>
      </c>
    </row>
    <row r="63" ht="15.0" customHeight="1">
      <c r="A63" s="154" t="inlineStr">
        <is>
          <t xml:space="preserve">Ego (xe ghi hình liên quan)</t>
        </is>
      </c>
      <c r="B63" s="161">
        <v>627</v>
      </c>
      <c r="C63" s="157">
        <v>0.744297</v>
      </c>
      <c r="D63" s="157">
        <v>0.812271</v>
      </c>
      <c r="E63" s="157">
        <v>0.846975</v>
      </c>
      <c r="F63" s="160">
        <f>E63-C63</f>
        <v>0.102678</v>
      </c>
      <c r="G63" s="155"/>
      <c r="H63" s="153"/>
    </row>
    <row r="64" ht="28.0" customHeight="1">
      <c r="A64" s="154" t="inlineStr">
        <is>
          <t xml:space="preserve">Non-ego (xe khác va chạm)</t>
        </is>
      </c>
      <c r="B64" s="161">
        <v>502</v>
      </c>
      <c r="C64" s="157">
        <v>0.616016</v>
      </c>
      <c r="D64" s="157">
        <v>0.712635</v>
      </c>
      <c r="E64" s="157">
        <v>0.744744</v>
      </c>
      <c r="F64" s="160">
        <f>E64-C64</f>
        <v>0.128728</v>
      </c>
      <c r="G64" s="155"/>
      <c r="H64" s="153" t="inlineStr">
        <is>
          <t xml:space="preserve">Thấp hơn ego rõ rệt: hai encoder nén cả frame về 224² thành 1 vector toàn cục → vật nhỏ, ở xa bị pha loãng</t>
        </is>
      </c>
    </row>
    <row r="65" ht="15.0" customHeight="1">
      <c r="A65" s="151" t="inlineStr">
        <is>
          <t xml:space="preserve">Loại tai nạn (n ≥ 15)</t>
        </is>
      </c>
      <c r="B65" s="151" t="inlineStr">
        <is>
          <t xml:space="preserve">n</t>
        </is>
      </c>
      <c r="C65" s="151" t="inlineStr">
        <is>
          <t xml:space="preserve">A0</t>
        </is>
      </c>
      <c r="D65" s="151" t="inlineStr">
        <is>
          <t xml:space="preserve">A3</t>
        </is>
      </c>
      <c r="E65" s="151" t="inlineStr">
        <is>
          <t xml:space="preserve">A3-ign</t>
        </is>
      </c>
      <c r="F65" s="151" t="inlineStr">
        <is>
          <t xml:space="preserve">A3-ign − A0</t>
        </is>
      </c>
      <c r="G65" s="151"/>
      <c r="H65" s="151" t="inlineStr">
        <is>
          <t xml:space="preserve">Ghi chú</t>
        </is>
      </c>
    </row>
    <row r="66" ht="15.0" customHeight="1">
      <c r="A66" s="154" t="inlineStr">
        <is>
          <t xml:space="preserve">turning</t>
        </is>
      </c>
      <c r="B66" s="161">
        <v>411</v>
      </c>
      <c r="C66" s="157">
        <v>0.706417</v>
      </c>
      <c r="D66" s="157">
        <v>0.765951</v>
      </c>
      <c r="E66" s="157">
        <v>0.812253</v>
      </c>
      <c r="F66" s="160">
        <f>E66-C66</f>
        <v>0.105837</v>
      </c>
      <c r="G66" s="155"/>
      <c r="H66" s="153"/>
    </row>
    <row r="67" ht="15.0" customHeight="1">
      <c r="A67" s="154" t="inlineStr">
        <is>
          <t xml:space="preserve">lateral</t>
        </is>
      </c>
      <c r="B67" s="161">
        <v>202</v>
      </c>
      <c r="C67" s="157">
        <v>0.659502</v>
      </c>
      <c r="D67" s="157">
        <v>0.782719</v>
      </c>
      <c r="E67" s="157">
        <v>0.808133</v>
      </c>
      <c r="F67" s="160">
        <f>E67-C67</f>
        <v>0.148631</v>
      </c>
      <c r="G67" s="155"/>
      <c r="H67" s="153"/>
    </row>
    <row r="68" ht="15.0" customHeight="1">
      <c r="A68" s="154" t="inlineStr">
        <is>
          <t xml:space="preserve">moving_ahead_or_waiting</t>
        </is>
      </c>
      <c r="B68" s="161">
        <v>154</v>
      </c>
      <c r="C68" s="157">
        <v>0.665805</v>
      </c>
      <c r="D68" s="157">
        <v>0.757457</v>
      </c>
      <c r="E68" s="157">
        <v>0.782364</v>
      </c>
      <c r="F68" s="160">
        <f>E68-C68</f>
        <v>0.116559</v>
      </c>
      <c r="G68" s="155"/>
      <c r="H68" s="153"/>
    </row>
    <row r="69" ht="15.0" customHeight="1">
      <c r="A69" s="154" t="inlineStr">
        <is>
          <t xml:space="preserve">oncoming</t>
        </is>
      </c>
      <c r="B69" s="161">
        <v>111</v>
      </c>
      <c r="C69" s="157">
        <v>0.740432</v>
      </c>
      <c r="D69" s="157">
        <v>0.80517</v>
      </c>
      <c r="E69" s="157">
        <v>0.827411</v>
      </c>
      <c r="F69" s="160">
        <f>E69-C69</f>
        <v>0.086979</v>
      </c>
      <c r="G69" s="155"/>
      <c r="H69" s="153"/>
    </row>
    <row r="70" ht="15.0" customHeight="1">
      <c r="A70" s="154" t="inlineStr">
        <is>
          <t xml:space="preserve">leave_to_right</t>
        </is>
      </c>
      <c r="B70" s="161">
        <v>88</v>
      </c>
      <c r="C70" s="157">
        <v>0.649101</v>
      </c>
      <c r="D70" s="157">
        <v>0.758306</v>
      </c>
      <c r="E70" s="157">
        <v>0.779345</v>
      </c>
      <c r="F70" s="160">
        <f>E70-C70</f>
        <v>0.130244</v>
      </c>
      <c r="G70" s="155"/>
      <c r="H70" s="153"/>
    </row>
    <row r="71" ht="15.0" customHeight="1">
      <c r="A71" s="154" t="inlineStr">
        <is>
          <t xml:space="preserve">leave_to_left</t>
        </is>
      </c>
      <c r="B71" s="161">
        <v>69</v>
      </c>
      <c r="C71" s="157">
        <v>0.688962</v>
      </c>
      <c r="D71" s="157">
        <v>0.726735</v>
      </c>
      <c r="E71" s="157">
        <v>0.746036</v>
      </c>
      <c r="F71" s="160">
        <f>E71-C71</f>
        <v>0.057074</v>
      </c>
      <c r="G71" s="155"/>
      <c r="H71" s="153"/>
    </row>
    <row r="72" ht="15.0" customHeight="1">
      <c r="A72" s="154" t="inlineStr">
        <is>
          <t xml:space="preserve">obstacle</t>
        </is>
      </c>
      <c r="B72" s="161">
        <v>28</v>
      </c>
      <c r="C72" s="157">
        <v>0.763361</v>
      </c>
      <c r="D72" s="157">
        <v>0.786968</v>
      </c>
      <c r="E72" s="157">
        <v>0.856199</v>
      </c>
      <c r="F72" s="160">
        <f>E72-C72</f>
        <v>0.092838</v>
      </c>
      <c r="G72" s="155"/>
      <c r="H72" s="153"/>
    </row>
    <row r="73" ht="15.0" customHeight="1">
      <c r="A73" s="154" t="inlineStr">
        <is>
          <t xml:space="preserve">pedestrian</t>
        </is>
      </c>
      <c r="B73" s="161">
        <v>27</v>
      </c>
      <c r="C73" s="157">
        <v>0.69202</v>
      </c>
      <c r="D73" s="157">
        <v>0.790112</v>
      </c>
      <c r="E73" s="157">
        <v>0.810845</v>
      </c>
      <c r="F73" s="160">
        <f>E73-C73</f>
        <v>0.118825</v>
      </c>
      <c r="G73" s="155"/>
      <c r="H73" s="153"/>
    </row>
    <row r="74" ht="15.0" customHeight="1">
      <c r="A74" s="154" t="inlineStr">
        <is>
          <t xml:space="preserve">start_stop_or_stationary</t>
        </is>
      </c>
      <c r="B74" s="161">
        <v>20</v>
      </c>
      <c r="C74" s="157">
        <v>0.594154</v>
      </c>
      <c r="D74" s="157">
        <v>0.706847</v>
      </c>
      <c r="E74" s="157">
        <v>0.755876</v>
      </c>
      <c r="F74" s="160">
        <f>E74-C74</f>
        <v>0.161722</v>
      </c>
      <c r="G74" s="155"/>
      <c r="H74" s="153"/>
    </row>
    <row r="75" ht="15.0" customHeight="1">
      <c r="A75" s="154" t="inlineStr">
        <is>
          <t xml:space="preserve">unknown</t>
        </is>
      </c>
      <c r="B75" s="161">
        <v>19</v>
      </c>
      <c r="C75" s="157">
        <v>0.580793</v>
      </c>
      <c r="D75" s="157">
        <v>0.722025</v>
      </c>
      <c r="E75" s="157">
        <v>0.761394</v>
      </c>
      <c r="F75" s="160">
        <f>E75-C75</f>
        <v>0.180601</v>
      </c>
      <c r="G75" s="155"/>
      <c r="H75" s="153"/>
    </row>
    <row r="76" ht="28.0" customHeight="1">
      <c r="A76" s="152" t="inlineStr">
        <is>
          <t xml:space="preserve">Khám phá, không đăng ký trước. A3-ign cải thiện mọi loại tai nạn so với A0. Hành vi theo thời gian (trên dev): điểm đạt đỉnh khoảng 1–2 s sau khi tai nạn bắt đầu rồi giảm dần; A3-ign hạ điểm nền trước tai nạn rất mạnh (−0.29) nhưng không nâng điểm bên trong đoạn bất thường.</t>
        </is>
      </c>
    </row>
    <row r="77" ht="15.0" customHeight="1"/>
    <row r="78" ht="20" customHeight="1">
      <c r="A78" s="149" t="inlineStr">
        <is>
          <t xml:space="preserve">6. MỖI THÀNH PHẦN MUA ĐƯỢC GÌ</t>
        </is>
      </c>
      <c r="B78" s="149"/>
      <c r="C78" s="149"/>
      <c r="D78" s="149"/>
      <c r="E78" s="149"/>
      <c r="F78" s="149"/>
      <c r="G78" s="149"/>
      <c r="H78" s="149"/>
    </row>
    <row r="79" ht="15.0" customHeight="1">
      <c r="A79" s="151" t="inlineStr">
        <is>
          <t xml:space="preserve">Thành phần</t>
        </is>
      </c>
      <c r="B79" s="151" t="inlineStr">
        <is>
          <t xml:space="preserve">Bằng chứng ủng hộ</t>
        </is>
      </c>
      <c r="C79" s="151"/>
      <c r="D79" s="151"/>
      <c r="E79" s="151" t="inlineStr">
        <is>
          <t xml:space="preserve">Bằng chứng chống / giới hạn</t>
        </is>
      </c>
      <c r="F79" s="151"/>
      <c r="G79" s="151"/>
      <c r="H79" s="151" t="inlineStr">
        <is>
          <t xml:space="preserve">Trạng thái</t>
        </is>
      </c>
    </row>
    <row r="80" ht="28.0" customHeight="1">
      <c r="A80" s="164" t="inlineStr">
        <is>
          <t xml:space="preserve">Luồng video V2-S</t>
        </is>
      </c>
      <c r="B80" s="163" t="inlineStr">
        <is>
          <t xml:space="preserve">A3 − A1 +0.098 trên DoTA, 5/5 seed; T2-test A2 − A0 +0.077</t>
        </is>
      </c>
      <c r="C80" s="163"/>
      <c r="D80" s="163"/>
      <c r="E80" s="163" t="inlineStr">
        <is>
          <t xml:space="preserve">Không nhạy thứ tự frame (xáo ±0.0004) → không phải "motion"</t>
        </is>
      </c>
      <c r="F80" s="163"/>
      <c r="G80" s="163"/>
      <c r="H80" s="163" t="inlineStr">
        <is>
          <t xml:space="preserve">Giữ; gọi là bộ mã hoá ngoại hình video</t>
        </is>
      </c>
    </row>
    <row r="81" ht="28.0" customHeight="1">
      <c r="A81" s="164" t="inlineStr">
        <is>
          <t xml:space="preserve">CRN (R2)</t>
        </is>
      </c>
      <c r="B81" s="163" t="inlineStr">
        <is>
          <t xml:space="preserve">Xoá shortcut corpus T2↔DoTA trong V^t (0.9999 → 0.55)</t>
        </is>
      </c>
      <c r="C81" s="163"/>
      <c r="D81" s="163"/>
      <c r="E81" s="163" t="inlineStr">
        <is>
          <t xml:space="preserve">A1 − A0 trên DoTA −0.010 (chứa 0); ≈ 0.013 macro chi phí in-domain trên T2</t>
        </is>
      </c>
      <c r="F81" s="163"/>
      <c r="G81" s="163"/>
      <c r="H81" s="163" t="inlineStr">
        <is>
          <t xml:space="preserve">Giữ trong A3; không claim riêng</t>
        </is>
      </c>
    </row>
    <row r="82" ht="28.0" customHeight="1">
      <c r="A82" s="164" t="inlineStr">
        <is>
          <t xml:space="preserve">DVS anchor `ignore` (A3-ign)</t>
        </is>
      </c>
      <c r="B82" s="163" t="inlineStr">
        <is>
          <t xml:space="preserve">+0.0387 trên DoTA, 5/5 seed; T2-test +0.025; miễn phí (1 cờ)</t>
        </is>
      </c>
      <c r="C82" s="163"/>
      <c r="D82" s="163"/>
      <c r="E82" s="163" t="inlineStr">
        <is>
          <t xml:space="preserve">Hạ điểm nền trước tai nạn, không phủ thêm đoạn bất thường</t>
        </is>
      </c>
      <c r="F82" s="163"/>
      <c r="G82" s="163"/>
      <c r="H82" s="163" t="inlineStr">
        <is>
          <t xml:space="preserve">Chấp nhận — công thức huấn luyện cuối của v2</t>
        </is>
      </c>
    </row>
    <row r="83" ht="15.0" customHeight="1"/>
    <row r="84" ht="20" customHeight="1">
      <c r="A84" s="149" t="inlineStr">
        <is>
          <t xml:space="preserve">7. ĐƯỢC NÓI / KHÔNG ĐƯỢC NÓI</t>
        </is>
      </c>
      <c r="B84" s="149"/>
      <c r="C84" s="149"/>
      <c r="D84" s="149"/>
      <c r="E84" s="149"/>
      <c r="F84" s="149"/>
      <c r="G84" s="149"/>
      <c r="H84" s="149"/>
    </row>
    <row r="85" ht="15.0" customHeight="1">
      <c r="A85" s="151" t="inlineStr">
        <is>
          <t xml:space="preserve">Được nói</t>
        </is>
      </c>
      <c r="B85" s="151"/>
      <c r="C85" s="151"/>
      <c r="D85" s="151"/>
      <c r="E85" s="151" t="inlineStr">
        <is>
          <t xml:space="preserve">Không được nói</t>
        </is>
      </c>
      <c r="F85" s="151"/>
      <c r="G85" s="151"/>
      <c r="H85" s="151"/>
    </row>
    <row r="86" ht="15.0" customHeight="1">
      <c r="A86" s="163" t="inlineStr">
        <is>
          <t xml:space="preserve">v2 (A3-ign) cải thiện DoTA so với baseline A0: +0.126, 5/5 seed</t>
        </is>
      </c>
      <c r="B86" s="163"/>
      <c r="C86" s="163"/>
      <c r="D86" s="163"/>
      <c r="E86" s="153" t="inlineStr">
        <is>
          <t xml:space="preserve">"motion" hay "kinematics-aware" cho luồng video</t>
        </is>
      </c>
      <c r="F86" s="153"/>
      <c r="G86" s="153"/>
      <c r="H86" s="153"/>
    </row>
    <row r="87" ht="15.0" customHeight="1">
      <c r="A87" s="163" t="inlineStr">
        <is>
          <t xml:space="preserve">Luồng video V2-S cải thiện DoTA trên nền CRN (+0.098)</t>
        </is>
      </c>
      <c r="B87" s="163"/>
      <c r="C87" s="163"/>
      <c r="D87" s="163"/>
      <c r="E87" s="153" t="inlineStr">
        <is>
          <t xml:space="preserve">"CRN cải thiện DoTA" (A1 − A0 chứa 0)</t>
        </is>
      </c>
      <c r="F87" s="153"/>
      <c r="G87" s="153"/>
      <c r="H87" s="153"/>
    </row>
    <row r="88" ht="15.0" customHeight="1">
      <c r="A88" s="163" t="inlineStr">
        <is>
          <t xml:space="preserve">CRN xoá shortcut corpus T2↔DoTA trong biểu diễn (0.9999 → 0.55)</t>
        </is>
      </c>
      <c r="B88" s="163"/>
      <c r="C88" s="163"/>
      <c r="D88" s="163"/>
      <c r="E88" s="153" t="inlineStr">
        <is>
          <t xml:space="preserve">Đặt số DoTA ở đây cạnh 62.60 của LaGoVAD mà không ghi rõ protocol (stride 3, 1,129 clip có pixel)</t>
        </is>
      </c>
      <c r="F88" s="153"/>
      <c r="G88" s="153"/>
      <c r="H88" s="153"/>
    </row>
    <row r="89" ht="15.0" customHeight="1">
      <c r="A89" s="163" t="inlineStr">
        <is>
          <t xml:space="preserve">Bỏ nhãn DVS toàn anchor cải thiện DoTA (+0.039) và T2-test (+0.025)</t>
        </is>
      </c>
      <c r="B89" s="163"/>
      <c r="C89" s="163"/>
      <c r="D89" s="163"/>
      <c r="E89" s="153" t="inlineStr">
        <is>
          <t xml:space="preserve">"Bỏ nhãn toàn anchor giúp phủ đoạn bất thường" (cơ chế là hạ điểm nền)</t>
        </is>
      </c>
      <c r="F89" s="153"/>
      <c r="G89" s="153"/>
      <c r="H89" s="153"/>
    </row>
    <row r="90" ht="15.0" customHeight="1"/>
    <row r="91" ht="20" customHeight="1">
      <c r="A91" s="149" t="inlineStr">
        <is>
          <t xml:space="preserve">8. NGUỒN SỐ LIỆU</t>
        </is>
      </c>
      <c r="B91" s="149"/>
      <c r="C91" s="149"/>
      <c r="D91" s="149"/>
      <c r="E91" s="149"/>
      <c r="F91" s="149"/>
      <c r="G91" s="149"/>
      <c r="H91" s="149"/>
    </row>
    <row r="92" ht="15.0" customHeight="1">
      <c r="A92" s="151" t="inlineStr">
        <is>
          <t xml:space="preserve">Phần</t>
        </is>
      </c>
      <c r="B92" s="151" t="inlineStr">
        <is>
          <t xml:space="preserve">File</t>
        </is>
      </c>
      <c r="C92" s="151"/>
      <c r="D92" s="151"/>
      <c r="E92" s="151"/>
      <c r="F92" s="151"/>
      <c r="G92" s="151"/>
      <c r="H92" s="151"/>
    </row>
    <row r="93" ht="28.0" customHeight="1">
      <c r="A93" s="154" t="inlineStr">
        <is>
          <t xml:space="preserve">DoTA theo arm (dev + eval)</t>
        </is>
      </c>
      <c r="B93" s="153" t="inlineStr">
        <is>
          <t xml:space="preserve">outputs/v2/v2_e3/REPORTS/pb/A*/dota_cap_dev, outputs/v2/v2_final/REPORTS/pb/A*/dota_cap_eval, outputs/v2/v2_e4_0/{,second_look/}REPORTS/pb/A3ign/ — protocol_b_readout.json, clip_aucs.json, clip_scores.npz</t>
        </is>
      </c>
      <c r="C93" s="153"/>
      <c r="D93" s="153"/>
      <c r="E93" s="153"/>
      <c r="F93" s="153"/>
      <c r="G93" s="153"/>
      <c r="H93" s="153"/>
    </row>
    <row r="94" ht="28.0" customHeight="1">
      <c r="A94" s="154" t="inlineStr">
        <is>
          <t xml:space="preserve">Cách gộp</t>
        </is>
      </c>
      <c r="B94" s="153" t="inlineStr">
        <is>
          <t xml:space="preserve">macro gộp = trung bình AUC theo clip trên 1,129 clip (= trung bình có trọng số 569/560 của hai tập); per-seed gộp tương tự; CI = core.metrics.cluster_bootstrap_ci (seed 2024, B = 10,000); micro/AP = per-clip min-max</t>
        </is>
      </c>
      <c r="C94" s="153"/>
      <c r="D94" s="153"/>
      <c r="E94" s="153"/>
      <c r="F94" s="153"/>
      <c r="G94" s="153"/>
      <c r="H94" s="153"/>
    </row>
    <row r="95" ht="15.0" customHeight="1">
      <c r="A95" s="154" t="inlineStr">
        <is>
          <t xml:space="preserve">T2-test</t>
        </is>
      </c>
      <c r="B95" s="153" t="inlineStr">
        <is>
          <t xml:space="preserve">outputs/v2/v2_final/REPORTS/final_readout.md; core/docs/v2/RESULTS_E4_0.md</t>
        </is>
      </c>
      <c r="C95" s="153"/>
      <c r="D95" s="153"/>
      <c r="E95" s="153"/>
      <c r="F95" s="153"/>
      <c r="G95" s="153"/>
      <c r="H95" s="153"/>
    </row>
    <row r="96" ht="15.0" customHeight="1">
      <c r="A96" s="154" t="inlineStr">
        <is>
          <t xml:space="preserve">Tổng hợp v2</t>
        </is>
      </c>
      <c r="B96" s="153" t="inlineStr">
        <is>
          <t xml:space="preserve">core/docs/v2/REPORT_V2_RESULTS.md; core/docs/v2/RESULTS_E3.md</t>
        </is>
      </c>
      <c r="C96" s="153"/>
      <c r="D96" s="153"/>
      <c r="E96" s="153"/>
      <c r="F96" s="153"/>
      <c r="G96" s="153"/>
      <c r="H96" s="153"/>
    </row>
  </sheetData>
  <mergeCells count="59">
    <mergeCell ref="A2:H2"/>
    <mergeCell ref="A4:H4"/>
    <mergeCell ref="B5:H5"/>
    <mergeCell ref="B6:H6"/>
    <mergeCell ref="B7:H7"/>
    <mergeCell ref="B8:H8"/>
    <mergeCell ref="B9:H9"/>
    <mergeCell ref="B10:H10"/>
    <mergeCell ref="B11:H11"/>
    <mergeCell ref="B12:H12"/>
    <mergeCell ref="A14:H14"/>
    <mergeCell ref="A15:H15"/>
    <mergeCell ref="A22:H22"/>
    <mergeCell ref="A24:H24"/>
    <mergeCell ref="A30:H30"/>
    <mergeCell ref="A32:H32"/>
    <mergeCell ref="A40:H40"/>
    <mergeCell ref="E44:G44"/>
    <mergeCell ref="E45:G45"/>
    <mergeCell ref="E46:G46"/>
    <mergeCell ref="E47:G47"/>
    <mergeCell ref="E48:G48"/>
    <mergeCell ref="E49:G49"/>
    <mergeCell ref="E50:G50"/>
    <mergeCell ref="A52:H52"/>
    <mergeCell ref="F54:G54"/>
    <mergeCell ref="F55:G55"/>
    <mergeCell ref="F56:G56"/>
    <mergeCell ref="F57:G57"/>
    <mergeCell ref="F58:G58"/>
    <mergeCell ref="A59:H59"/>
    <mergeCell ref="A61:H61"/>
    <mergeCell ref="A76:H76"/>
    <mergeCell ref="A78:H78"/>
    <mergeCell ref="B80:D80"/>
    <mergeCell ref="E80:G80"/>
    <mergeCell ref="B81:D81"/>
    <mergeCell ref="E81:G81"/>
    <mergeCell ref="B82:D82"/>
    <mergeCell ref="E82:G82"/>
    <mergeCell ref="B79:D79"/>
    <mergeCell ref="E79:G79"/>
    <mergeCell ref="A84:H84"/>
    <mergeCell ref="A86:D86"/>
    <mergeCell ref="E86:H86"/>
    <mergeCell ref="A87:D87"/>
    <mergeCell ref="E87:H87"/>
    <mergeCell ref="A88:D88"/>
    <mergeCell ref="E88:H88"/>
    <mergeCell ref="A89:D89"/>
    <mergeCell ref="E89:H89"/>
    <mergeCell ref="A85:D85"/>
    <mergeCell ref="E85:H85"/>
    <mergeCell ref="A91:H91"/>
    <mergeCell ref="B93:H93"/>
    <mergeCell ref="B94:H94"/>
    <mergeCell ref="B95:H95"/>
    <mergeCell ref="B96:H96"/>
    <mergeCell ref="B92:H92"/>
  </mergeCells>
  <pageMargins left="0.5" right="0.5" top="0.5" bottom="0.5" header="0.3" footer="0.3"/>
</worksheet>
</file>